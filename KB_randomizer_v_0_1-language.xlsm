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szpot\MASTER\800    kitchen sink -----------------------------------------------------------\"/>
    </mc:Choice>
  </mc:AlternateContent>
  <workbookProtection workbookAlgorithmName="SHA-512" workbookHashValue="zHIxnY5o3upOVD7/To7ogWTlqXWNNw8xdge8thRADcHc78Mc4HPGpaEPmxMr/IkcEgAJCb0bweMIItjnqrPVVg==" workbookSaltValue="NZjyjsGSprbua+oiAjaBsg==" workbookSpinCount="100000" lockStructure="1"/>
  <bookViews>
    <workbookView xWindow="57084" yWindow="0" windowWidth="27876" windowHeight="12420" firstSheet="1" activeTab="5"/>
  </bookViews>
  <sheets>
    <sheet name="Sheet1" sheetId="1" state="hidden" r:id="rId1"/>
    <sheet name="lang" sheetId="5" r:id="rId2"/>
    <sheet name="saves" sheetId="10" state="hidden" r:id="rId3"/>
    <sheet name="data-saves" sheetId="8" state="hidden" r:id="rId4"/>
    <sheet name="data" sheetId="2" state="hidden" r:id="rId5"/>
    <sheet name="About" sheetId="14" r:id="rId6"/>
    <sheet name="Instructions" sheetId="15" r:id="rId7"/>
    <sheet name="KB randomizer" sheetId="12" r:id="rId8"/>
    <sheet name="Options" sheetId="13" r:id="rId9"/>
  </sheets>
  <definedNames>
    <definedName name="doRND">#REF!</definedName>
    <definedName name="LNG" comment="The chosen language of the workbook.">data!$R$57</definedName>
    <definedName name="lngNO">data!$W$5</definedName>
    <definedName name="lngNONE">data!$W$7</definedName>
    <definedName name="lngOFF">data!$W$2</definedName>
    <definedName name="lngON">data!$W$1</definedName>
    <definedName name="lngYES">data!$W$4</definedName>
    <definedName name="progVERSION">data!$E$11</definedName>
    <definedName name="totalERRORS">data!$R$1</definedName>
    <definedName name="useSAVE">'data-saves'!$V$50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1" i="2" l="1"/>
  <c r="A12" i="2"/>
  <c r="D12" i="2"/>
  <c r="C12" i="2"/>
  <c r="B12" i="2"/>
  <c r="E95" i="8" l="1"/>
  <c r="N35" i="12"/>
  <c r="W71" i="13"/>
  <c r="E96" i="8" l="1"/>
  <c r="A104" i="8"/>
  <c r="G95" i="8" s="1"/>
  <c r="E85" i="8" l="1"/>
  <c r="E86" i="8" s="1"/>
  <c r="A37" i="8"/>
  <c r="A38" i="8" s="1"/>
  <c r="A39" i="8" s="1"/>
  <c r="A40" i="8" s="1"/>
  <c r="A41" i="8" s="1"/>
  <c r="A42" i="8" s="1"/>
  <c r="A43" i="8" s="1"/>
  <c r="Z62" i="13" l="1"/>
  <c r="W62" i="13"/>
  <c r="X62" i="13" s="1"/>
  <c r="Q26" i="12" l="1"/>
  <c r="N26" i="12"/>
  <c r="O26" i="12" s="1"/>
  <c r="V50" i="8"/>
  <c r="L104" i="8" l="1"/>
  <c r="B153" i="2" l="1"/>
  <c r="B147" i="2"/>
  <c r="B139" i="2"/>
  <c r="E7" i="2"/>
  <c r="E6" i="2"/>
  <c r="E5" i="2"/>
  <c r="E4" i="2"/>
  <c r="E3" i="2"/>
  <c r="V1" i="2"/>
  <c r="B92" i="8"/>
  <c r="B90" i="8"/>
  <c r="B88" i="8"/>
  <c r="B80" i="8"/>
  <c r="B71" i="8"/>
  <c r="B70" i="8"/>
  <c r="B69" i="8"/>
  <c r="B68" i="8"/>
  <c r="B56" i="8"/>
  <c r="B55" i="8"/>
  <c r="B54" i="8"/>
  <c r="B53" i="8"/>
  <c r="B52" i="8"/>
  <c r="Y5" i="2" l="1"/>
  <c r="AA5" i="13" s="1"/>
  <c r="Y4" i="2" l="1"/>
  <c r="AA4" i="13" s="1"/>
  <c r="Y1" i="2"/>
  <c r="Y7" i="2"/>
  <c r="AA7" i="13" s="1"/>
  <c r="Y2" i="2"/>
  <c r="Q62" i="2" l="1"/>
  <c r="L58" i="8"/>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P53" i="8"/>
  <c r="P54" i="8" s="1"/>
  <c r="P55" i="8" s="1"/>
  <c r="P56" i="8" s="1"/>
  <c r="P57" i="8" s="1"/>
  <c r="P58" i="8" s="1"/>
  <c r="P59" i="8" s="1"/>
  <c r="P60" i="8" s="1"/>
  <c r="P61" i="8" s="1"/>
  <c r="P62" i="8" s="1"/>
  <c r="P63" i="8" s="1"/>
  <c r="P64" i="8" s="1"/>
  <c r="P65" i="8" s="1"/>
  <c r="P66" i="8" s="1"/>
  <c r="P67" i="8" s="1"/>
  <c r="P68" i="8" s="1"/>
  <c r="P69" i="8" s="1"/>
  <c r="P70" i="8" s="1"/>
  <c r="P71" i="8" s="1"/>
  <c r="P72" i="8" s="1"/>
  <c r="P73" i="8" s="1"/>
  <c r="P74" i="8" s="1"/>
  <c r="P75" i="8" s="1"/>
  <c r="P76" i="8" s="1"/>
  <c r="P77" i="8" s="1"/>
  <c r="P78" i="8" s="1"/>
  <c r="P79" i="8" s="1"/>
  <c r="P80" i="8" s="1"/>
  <c r="P81" i="8" s="1"/>
  <c r="P82" i="8" s="1"/>
  <c r="P83" i="8" s="1"/>
  <c r="P84" i="8" s="1"/>
  <c r="P85" i="8" s="1"/>
  <c r="P86" i="8" s="1"/>
  <c r="P87" i="8" s="1"/>
  <c r="C92" i="8"/>
  <c r="D92" i="8" s="1"/>
  <c r="C90" i="8"/>
  <c r="D90" i="8" s="1"/>
  <c r="C88" i="8"/>
  <c r="D88" i="8" s="1"/>
  <c r="C80" i="8"/>
  <c r="D80" i="8" s="1"/>
  <c r="C71" i="8"/>
  <c r="D71" i="8" s="1"/>
  <c r="C70" i="8"/>
  <c r="D70" i="8" s="1"/>
  <c r="C69" i="8"/>
  <c r="D69" i="8" s="1"/>
  <c r="C68" i="8"/>
  <c r="D68" i="8" s="1"/>
  <c r="C56" i="8"/>
  <c r="D56" i="8" s="1"/>
  <c r="C55" i="8"/>
  <c r="D55" i="8" s="1"/>
  <c r="C54" i="8"/>
  <c r="D54" i="8" s="1"/>
  <c r="E53" i="8"/>
  <c r="E54" i="8" s="1"/>
  <c r="E55" i="8" s="1"/>
  <c r="E56" i="8" s="1"/>
  <c r="E57" i="8" s="1"/>
  <c r="E58" i="8" s="1"/>
  <c r="E59" i="8" s="1"/>
  <c r="E60" i="8" s="1"/>
  <c r="E61" i="8" s="1"/>
  <c r="E62" i="8" s="1"/>
  <c r="E63" i="8" s="1"/>
  <c r="E64" i="8" s="1"/>
  <c r="E65" i="8" s="1"/>
  <c r="E66" i="8" s="1"/>
  <c r="E67" i="8" s="1"/>
  <c r="E68" i="8" s="1"/>
  <c r="E69" i="8" s="1"/>
  <c r="E70" i="8" s="1"/>
  <c r="E71" i="8" s="1"/>
  <c r="E72" i="8" s="1"/>
  <c r="E73" i="8" s="1"/>
  <c r="E74" i="8" s="1"/>
  <c r="E75" i="8" s="1"/>
  <c r="E76" i="8" s="1"/>
  <c r="E77" i="8" s="1"/>
  <c r="E78" i="8" s="1"/>
  <c r="E79" i="8" s="1"/>
  <c r="E80" i="8" s="1"/>
  <c r="E81" i="8" s="1"/>
  <c r="E82" i="8" s="1"/>
  <c r="E83" i="8" s="1"/>
  <c r="E84" i="8" s="1"/>
  <c r="E87" i="8" s="1"/>
  <c r="E88" i="8" s="1"/>
  <c r="E89" i="8" s="1"/>
  <c r="E90" i="8" s="1"/>
  <c r="E91" i="8" s="1"/>
  <c r="E92" i="8" s="1"/>
  <c r="E93" i="8" s="1"/>
  <c r="E94" i="8" s="1"/>
  <c r="C53" i="8"/>
  <c r="D53" i="8" s="1"/>
  <c r="C52" i="8"/>
  <c r="D52" i="8" s="1"/>
  <c r="C47" i="8"/>
  <c r="K9" i="8"/>
  <c r="A5" i="8"/>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4" i="8"/>
  <c r="S6" i="2"/>
  <c r="S7" i="2"/>
  <c r="S8" i="2"/>
  <c r="S9" i="2"/>
  <c r="S10" i="2"/>
  <c r="S11" i="2"/>
  <c r="S12" i="2"/>
  <c r="Q63" i="2" l="1"/>
  <c r="Q64" i="2" l="1"/>
  <c r="H119" i="2"/>
  <c r="Q65" i="2" l="1"/>
  <c r="Q66" i="2" l="1"/>
  <c r="L3" i="2"/>
  <c r="A1" i="5"/>
  <c r="C1" i="5" s="1"/>
  <c r="D1" i="5" s="1"/>
  <c r="E1" i="5" s="1"/>
  <c r="F1" i="5"/>
  <c r="R59" i="2" l="1"/>
  <c r="R60" i="2"/>
  <c r="R61" i="2"/>
  <c r="R62" i="2"/>
  <c r="R63" i="2"/>
  <c r="R64" i="2"/>
  <c r="R65" i="2"/>
  <c r="Q67" i="2"/>
  <c r="R66" i="2"/>
  <c r="Q68" i="2" l="1"/>
  <c r="R67" i="2"/>
  <c r="B154" i="2"/>
  <c r="B148" i="2"/>
  <c r="E140" i="2"/>
  <c r="D140" i="2"/>
  <c r="C140" i="2"/>
  <c r="B140" i="2"/>
  <c r="A120" i="2"/>
  <c r="A100" i="2"/>
  <c r="A101" i="2" s="1"/>
  <c r="A102" i="2" s="1"/>
  <c r="A103" i="2" s="1"/>
  <c r="A104" i="2" s="1"/>
  <c r="Q69" i="2" l="1"/>
  <c r="R68" i="2"/>
  <c r="A121" i="2"/>
  <c r="H120" i="2"/>
  <c r="E92" i="2"/>
  <c r="L48" i="2"/>
  <c r="L52" i="2"/>
  <c r="L51" i="2"/>
  <c r="L50" i="2"/>
  <c r="L49" i="2"/>
  <c r="Q70" i="2" l="1"/>
  <c r="R69" i="2"/>
  <c r="S69" i="2" s="1"/>
  <c r="A122" i="2"/>
  <c r="H121" i="2"/>
  <c r="S61" i="2"/>
  <c r="S65" i="2"/>
  <c r="S62" i="2"/>
  <c r="S63" i="2"/>
  <c r="S67" i="2"/>
  <c r="S66" i="2"/>
  <c r="S64" i="2"/>
  <c r="S68" i="2"/>
  <c r="Q71" i="2" l="1"/>
  <c r="R70" i="2"/>
  <c r="S70" i="2" s="1"/>
  <c r="S60" i="2"/>
  <c r="A123" i="2"/>
  <c r="H122" i="2"/>
  <c r="S59" i="2"/>
  <c r="Q72" i="2" l="1"/>
  <c r="R71" i="2"/>
  <c r="S71" i="2" s="1"/>
  <c r="A124" i="2"/>
  <c r="H123" i="2"/>
  <c r="A61" i="2"/>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Q73" i="2" l="1"/>
  <c r="R72" i="2"/>
  <c r="S72" i="2" s="1"/>
  <c r="A125" i="2"/>
  <c r="H124" i="2"/>
  <c r="R73" i="2" l="1"/>
  <c r="S73" i="2" s="1"/>
  <c r="Q74" i="2"/>
  <c r="A126" i="2"/>
  <c r="H125" i="2"/>
  <c r="R74" i="2" l="1"/>
  <c r="S74" i="2" s="1"/>
  <c r="Q75" i="2"/>
  <c r="A127" i="2"/>
  <c r="H126" i="2"/>
  <c r="L7" i="2"/>
  <c r="L6" i="2"/>
  <c r="L5" i="2"/>
  <c r="L4" i="2"/>
  <c r="L2" i="2"/>
  <c r="L45" i="2"/>
  <c r="L44" i="2"/>
  <c r="L43" i="2"/>
  <c r="L42" i="2"/>
  <c r="H40" i="2"/>
  <c r="R75" i="2" l="1"/>
  <c r="S75" i="2" s="1"/>
  <c r="Q76" i="2"/>
  <c r="H41" i="2"/>
  <c r="A128" i="2"/>
  <c r="H127" i="2"/>
  <c r="N119" i="2"/>
  <c r="R76" i="2" l="1"/>
  <c r="S76" i="2" s="1"/>
  <c r="Q77" i="2"/>
  <c r="A129" i="2"/>
  <c r="H128" i="2"/>
  <c r="N128" i="2" s="1"/>
  <c r="N124" i="2"/>
  <c r="N122" i="2"/>
  <c r="N120" i="2"/>
  <c r="N127" i="2"/>
  <c r="N126" i="2"/>
  <c r="N125" i="2"/>
  <c r="N123" i="2"/>
  <c r="N121" i="2"/>
  <c r="I42" i="2"/>
  <c r="M42" i="2" s="1"/>
  <c r="I43" i="2"/>
  <c r="I44" i="2"/>
  <c r="I45" i="2"/>
  <c r="E8" i="2"/>
  <c r="A16" i="2"/>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F4" i="1"/>
  <c r="F5" i="1"/>
  <c r="F6" i="1"/>
  <c r="F7" i="1"/>
  <c r="F8" i="1"/>
  <c r="F9" i="1"/>
  <c r="F10" i="1"/>
  <c r="F11" i="1"/>
  <c r="F12" i="1"/>
  <c r="F13" i="1"/>
  <c r="F14" i="1"/>
  <c r="F15" i="1"/>
  <c r="F16" i="1"/>
  <c r="F17" i="1"/>
  <c r="F18" i="1"/>
  <c r="F19" i="1"/>
  <c r="F20" i="1"/>
  <c r="F21" i="1"/>
  <c r="F22" i="1"/>
  <c r="F23" i="1"/>
  <c r="F24" i="1"/>
  <c r="F25" i="1"/>
  <c r="F26" i="1"/>
  <c r="F3" i="1"/>
  <c r="Q18" i="1"/>
  <c r="Q17" i="1"/>
  <c r="Q16" i="1"/>
  <c r="AE2" i="1"/>
  <c r="AD2" i="1"/>
  <c r="AC2" i="1"/>
  <c r="AB2" i="1"/>
  <c r="M18" i="1"/>
  <c r="N18" i="1" s="1"/>
  <c r="M19" i="1"/>
  <c r="N19" i="1" s="1"/>
  <c r="M20" i="1"/>
  <c r="N20" i="1" s="1"/>
  <c r="M21" i="1"/>
  <c r="N21" i="1" s="1"/>
  <c r="M17" i="1"/>
  <c r="K23" i="1" s="1"/>
  <c r="K22" i="1"/>
  <c r="K18" i="1"/>
  <c r="K19" i="1"/>
  <c r="K20" i="1"/>
  <c r="K21" i="1"/>
  <c r="K17" i="1"/>
  <c r="G85" i="8" l="1"/>
  <c r="H85" i="8" s="1"/>
  <c r="R77" i="2"/>
  <c r="S77" i="2" s="1"/>
  <c r="Q78" i="2"/>
  <c r="G89" i="8"/>
  <c r="H89" i="8" s="1"/>
  <c r="G84" i="8"/>
  <c r="H84" i="8" s="1"/>
  <c r="A128" i="8" s="1"/>
  <c r="B128" i="8" s="1"/>
  <c r="G90" i="8"/>
  <c r="G86" i="8"/>
  <c r="H86" i="8" s="1"/>
  <c r="G94" i="8"/>
  <c r="H94" i="8" s="1"/>
  <c r="G91" i="8"/>
  <c r="H91" i="8" s="1"/>
  <c r="G93" i="8"/>
  <c r="H93" i="8" s="1"/>
  <c r="G83" i="8"/>
  <c r="H83" i="8" s="1"/>
  <c r="A127" i="8" s="1"/>
  <c r="B127" i="8" s="1"/>
  <c r="G79" i="8"/>
  <c r="H79" i="8" s="1"/>
  <c r="G75" i="8"/>
  <c r="H75" i="8" s="1"/>
  <c r="G71" i="8"/>
  <c r="H71" i="8" s="1"/>
  <c r="G67" i="8"/>
  <c r="H67" i="8" s="1"/>
  <c r="G63" i="8"/>
  <c r="G59" i="8"/>
  <c r="H59" i="8" s="1"/>
  <c r="G55" i="8"/>
  <c r="H55" i="8" s="1"/>
  <c r="G96" i="8"/>
  <c r="G92" i="8"/>
  <c r="G88" i="8"/>
  <c r="G80" i="8"/>
  <c r="H80" i="8" s="1"/>
  <c r="G76" i="8"/>
  <c r="G72" i="8"/>
  <c r="H72" i="8" s="1"/>
  <c r="G68" i="8"/>
  <c r="H68" i="8" s="1"/>
  <c r="G64" i="8"/>
  <c r="G60" i="8"/>
  <c r="H60" i="8" s="1"/>
  <c r="G56" i="8"/>
  <c r="H56" i="8" s="1"/>
  <c r="G52" i="8"/>
  <c r="H52" i="8" s="1"/>
  <c r="I52" i="8" s="1"/>
  <c r="G73" i="8"/>
  <c r="H73" i="8" s="1"/>
  <c r="G70" i="8"/>
  <c r="H70" i="8" s="1"/>
  <c r="G66" i="8"/>
  <c r="H66" i="8" s="1"/>
  <c r="G58" i="8"/>
  <c r="H58" i="8" s="1"/>
  <c r="G53" i="8"/>
  <c r="H53" i="8" s="1"/>
  <c r="G87" i="8"/>
  <c r="H87" i="8" s="1"/>
  <c r="G74" i="8"/>
  <c r="H74" i="8" s="1"/>
  <c r="G61" i="8"/>
  <c r="H61" i="8" s="1"/>
  <c r="G54" i="8"/>
  <c r="H54" i="8" s="1"/>
  <c r="G78" i="8"/>
  <c r="G81" i="8"/>
  <c r="H81" i="8" s="1"/>
  <c r="A125" i="8" s="1"/>
  <c r="B125" i="8" s="1"/>
  <c r="G77" i="8"/>
  <c r="G62" i="8"/>
  <c r="G82" i="8"/>
  <c r="H82" i="8" s="1"/>
  <c r="A126" i="8" s="1"/>
  <c r="B126" i="8" s="1"/>
  <c r="G69" i="8"/>
  <c r="H69" i="8" s="1"/>
  <c r="G65" i="8"/>
  <c r="G57" i="8"/>
  <c r="H57" i="8" s="1"/>
  <c r="A130" i="2"/>
  <c r="H129" i="2"/>
  <c r="M44" i="2"/>
  <c r="M45" i="2"/>
  <c r="M43" i="2"/>
  <c r="I40" i="2"/>
  <c r="N17" i="1"/>
  <c r="K15" i="1"/>
  <c r="L10" i="1"/>
  <c r="M3" i="1"/>
  <c r="M4" i="1" s="1"/>
  <c r="M5" i="1" s="1"/>
  <c r="J85" i="8" l="1"/>
  <c r="I85" i="8"/>
  <c r="I96" i="8"/>
  <c r="J96" i="8"/>
  <c r="J87" i="8"/>
  <c r="I87" i="8"/>
  <c r="J60" i="8"/>
  <c r="I60" i="8"/>
  <c r="J83" i="8"/>
  <c r="I83" i="8"/>
  <c r="J53" i="8"/>
  <c r="I53" i="8"/>
  <c r="J80" i="8"/>
  <c r="I80" i="8"/>
  <c r="J61" i="8"/>
  <c r="I61" i="8"/>
  <c r="J58" i="8"/>
  <c r="I58" i="8"/>
  <c r="J68" i="8"/>
  <c r="I68" i="8"/>
  <c r="J59" i="8"/>
  <c r="I59" i="8"/>
  <c r="J75" i="8"/>
  <c r="I75" i="8"/>
  <c r="J91" i="8"/>
  <c r="I91" i="8"/>
  <c r="J84" i="8"/>
  <c r="I84" i="8"/>
  <c r="J82" i="8"/>
  <c r="I82" i="8"/>
  <c r="J70" i="8"/>
  <c r="I70" i="8"/>
  <c r="J67" i="8"/>
  <c r="I67" i="8"/>
  <c r="J86" i="8"/>
  <c r="I86" i="8"/>
  <c r="J57" i="8"/>
  <c r="I57" i="8"/>
  <c r="J54" i="8"/>
  <c r="I54" i="8"/>
  <c r="J73" i="8"/>
  <c r="I73" i="8"/>
  <c r="J55" i="8"/>
  <c r="I55" i="8"/>
  <c r="J71" i="8"/>
  <c r="I71" i="8"/>
  <c r="J69" i="8"/>
  <c r="I69" i="8"/>
  <c r="J81" i="8"/>
  <c r="I81" i="8"/>
  <c r="J74" i="8"/>
  <c r="I74" i="8"/>
  <c r="J66" i="8"/>
  <c r="I66" i="8"/>
  <c r="J56" i="8"/>
  <c r="I56" i="8"/>
  <c r="J72" i="8"/>
  <c r="I72" i="8"/>
  <c r="J79" i="8"/>
  <c r="I79" i="8"/>
  <c r="J89" i="8"/>
  <c r="I89" i="8"/>
  <c r="Q79" i="2"/>
  <c r="R78" i="2"/>
  <c r="S78" i="2" s="1"/>
  <c r="J62" i="8"/>
  <c r="H62" i="8"/>
  <c r="H64" i="8"/>
  <c r="J64" i="8"/>
  <c r="H90" i="8"/>
  <c r="I90" i="8" s="1"/>
  <c r="J90" i="8"/>
  <c r="J78" i="8"/>
  <c r="H78" i="8"/>
  <c r="J65" i="8"/>
  <c r="H65" i="8"/>
  <c r="J77" i="8"/>
  <c r="H77" i="8"/>
  <c r="J52" i="8"/>
  <c r="J88" i="8"/>
  <c r="H88" i="8"/>
  <c r="I88" i="8" s="1"/>
  <c r="H76" i="8"/>
  <c r="J76" i="8"/>
  <c r="J92" i="8"/>
  <c r="H92" i="8"/>
  <c r="I92" i="8" s="1"/>
  <c r="J63" i="8"/>
  <c r="H63" i="8"/>
  <c r="N129" i="2"/>
  <c r="A131" i="2"/>
  <c r="H130" i="2"/>
  <c r="I41" i="2"/>
  <c r="L11" i="1"/>
  <c r="L12" i="1"/>
  <c r="M6" i="1"/>
  <c r="M7" i="1" s="1"/>
  <c r="N3" i="1"/>
  <c r="N4" i="1" s="1"/>
  <c r="C23" i="1"/>
  <c r="C24" i="1"/>
  <c r="C25" i="1"/>
  <c r="C26" i="1"/>
  <c r="C22" i="1"/>
  <c r="C21" i="1"/>
  <c r="C20" i="1"/>
  <c r="C19" i="1"/>
  <c r="C18" i="1"/>
  <c r="C17" i="1"/>
  <c r="C16" i="1"/>
  <c r="C15" i="1"/>
  <c r="C11" i="1"/>
  <c r="C12" i="1"/>
  <c r="C13" i="1"/>
  <c r="C14" i="1"/>
  <c r="B23" i="1"/>
  <c r="B24" i="1"/>
  <c r="B25" i="1"/>
  <c r="B26" i="1"/>
  <c r="B22" i="1"/>
  <c r="B21" i="1"/>
  <c r="B20" i="1"/>
  <c r="B19" i="1"/>
  <c r="B15" i="1"/>
  <c r="B16" i="1"/>
  <c r="B17" i="1"/>
  <c r="B18" i="1"/>
  <c r="B14" i="1"/>
  <c r="B13" i="1"/>
  <c r="B12" i="1"/>
  <c r="B11" i="1"/>
  <c r="C4" i="1"/>
  <c r="C5" i="1"/>
  <c r="C6" i="1"/>
  <c r="C7" i="1"/>
  <c r="C8" i="1"/>
  <c r="C9" i="1"/>
  <c r="C10" i="1"/>
  <c r="C3" i="1"/>
  <c r="B3" i="1"/>
  <c r="B4" i="1"/>
  <c r="B5" i="1"/>
  <c r="B6" i="1"/>
  <c r="B7" i="1"/>
  <c r="B8" i="1"/>
  <c r="B9" i="1"/>
  <c r="B10" i="1"/>
  <c r="I63" i="8" l="1"/>
  <c r="A119" i="8"/>
  <c r="I76" i="8"/>
  <c r="A122" i="8"/>
  <c r="I64" i="8"/>
  <c r="A120" i="8"/>
  <c r="I77" i="8"/>
  <c r="A123" i="8"/>
  <c r="I78" i="8"/>
  <c r="A124" i="8"/>
  <c r="I65" i="8"/>
  <c r="A121" i="8"/>
  <c r="I62" i="8"/>
  <c r="A118" i="8"/>
  <c r="Q80" i="2"/>
  <c r="R79" i="2"/>
  <c r="S79" i="2" s="1"/>
  <c r="J94" i="8"/>
  <c r="J95" i="8"/>
  <c r="A132" i="2"/>
  <c r="H131" i="2"/>
  <c r="N131" i="2" s="1"/>
  <c r="N130" i="2"/>
  <c r="J42" i="2"/>
  <c r="N42" i="2" s="1"/>
  <c r="J43" i="2"/>
  <c r="J45" i="2"/>
  <c r="J44" i="2"/>
  <c r="N5" i="1"/>
  <c r="O3" i="1"/>
  <c r="O4" i="1" s="1"/>
  <c r="M10" i="1"/>
  <c r="I95" i="8" l="1"/>
  <c r="H96" i="8" s="1"/>
  <c r="B123" i="8"/>
  <c r="C123" i="8"/>
  <c r="C122" i="8"/>
  <c r="B122" i="8"/>
  <c r="C118" i="8"/>
  <c r="B118" i="8"/>
  <c r="C124" i="8"/>
  <c r="B124" i="8"/>
  <c r="C120" i="8"/>
  <c r="B120" i="8"/>
  <c r="C119" i="8"/>
  <c r="B119" i="8"/>
  <c r="C121" i="8"/>
  <c r="B121" i="8"/>
  <c r="Q81" i="2"/>
  <c r="R80" i="2"/>
  <c r="S80" i="2" s="1"/>
  <c r="A133" i="2"/>
  <c r="H132" i="2"/>
  <c r="N43" i="2"/>
  <c r="N44" i="2"/>
  <c r="N45" i="2"/>
  <c r="J40" i="2"/>
  <c r="AB3" i="1"/>
  <c r="M11" i="1"/>
  <c r="M12" i="1"/>
  <c r="N6" i="1"/>
  <c r="O5" i="1"/>
  <c r="H4" i="1"/>
  <c r="H5" i="1"/>
  <c r="H6" i="1"/>
  <c r="H7" i="1"/>
  <c r="H8" i="1"/>
  <c r="H9" i="1"/>
  <c r="H10" i="1"/>
  <c r="H11" i="1"/>
  <c r="H12" i="1"/>
  <c r="H13" i="1"/>
  <c r="H14" i="1"/>
  <c r="H15" i="1"/>
  <c r="H16" i="1"/>
  <c r="H17" i="1"/>
  <c r="H18" i="1"/>
  <c r="H19" i="1"/>
  <c r="H20" i="1"/>
  <c r="H21" i="1"/>
  <c r="H22" i="1"/>
  <c r="H23" i="1"/>
  <c r="H24" i="1"/>
  <c r="H25" i="1"/>
  <c r="H26" i="1"/>
  <c r="H3" i="1"/>
  <c r="H61" i="1"/>
  <c r="H60" i="1"/>
  <c r="H59" i="1"/>
  <c r="H32" i="1"/>
  <c r="H33" i="1"/>
  <c r="H34" i="1"/>
  <c r="H35" i="1"/>
  <c r="H36" i="1"/>
  <c r="H37" i="1"/>
  <c r="H38" i="1"/>
  <c r="H39" i="1"/>
  <c r="H40" i="1"/>
  <c r="H41" i="1"/>
  <c r="H42" i="1"/>
  <c r="H43" i="1"/>
  <c r="H44" i="1"/>
  <c r="H45" i="1"/>
  <c r="H46" i="1"/>
  <c r="H47" i="1"/>
  <c r="H48" i="1"/>
  <c r="H49" i="1"/>
  <c r="H50" i="1"/>
  <c r="H51" i="1"/>
  <c r="H52" i="1"/>
  <c r="H53" i="1"/>
  <c r="H54" i="1"/>
  <c r="H55" i="1"/>
  <c r="H31" i="1"/>
  <c r="F32" i="1"/>
  <c r="F33" i="1"/>
  <c r="F34" i="1"/>
  <c r="F35" i="1"/>
  <c r="F36" i="1"/>
  <c r="F37" i="1"/>
  <c r="F38" i="1"/>
  <c r="F39" i="1"/>
  <c r="F40" i="1"/>
  <c r="F41" i="1"/>
  <c r="F42" i="1"/>
  <c r="F43" i="1"/>
  <c r="F44" i="1"/>
  <c r="F45" i="1"/>
  <c r="F46" i="1"/>
  <c r="F47" i="1"/>
  <c r="F48" i="1"/>
  <c r="F49" i="1"/>
  <c r="F50" i="1"/>
  <c r="F51" i="1"/>
  <c r="F52" i="1"/>
  <c r="F53" i="1"/>
  <c r="F54" i="1"/>
  <c r="F55" i="1"/>
  <c r="F31" i="1"/>
  <c r="A85" i="1"/>
  <c r="A86" i="1" s="1"/>
  <c r="A87" i="1" s="1"/>
  <c r="A88" i="1" s="1"/>
  <c r="A89" i="1" s="1"/>
  <c r="A67" i="1"/>
  <c r="A68" i="1" s="1"/>
  <c r="A69" i="1" s="1"/>
  <c r="A70" i="1" s="1"/>
  <c r="A71" i="1" s="1"/>
  <c r="A72" i="1" s="1"/>
  <c r="A73" i="1" s="1"/>
  <c r="A74" i="1" s="1"/>
  <c r="A75" i="1" s="1"/>
  <c r="A76" i="1" s="1"/>
  <c r="A77" i="1" s="1"/>
  <c r="A78" i="1" s="1"/>
  <c r="A79" i="1" s="1"/>
  <c r="A80" i="1" s="1"/>
  <c r="A60" i="1"/>
  <c r="A61" i="1" s="1"/>
  <c r="A32" i="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R10" i="1"/>
  <c r="AL11" i="1"/>
  <c r="AL12" i="1" s="1"/>
  <c r="AA23" i="1"/>
  <c r="U12" i="1"/>
  <c r="U11" i="1"/>
  <c r="U10" i="1"/>
  <c r="V7" i="1"/>
  <c r="V8" i="1"/>
  <c r="V9" i="1"/>
  <c r="V6" i="1"/>
  <c r="AM3" i="1" s="1"/>
  <c r="AM4" i="1" s="1"/>
  <c r="AM5" i="1" s="1"/>
  <c r="AB18" i="1" s="1"/>
  <c r="U9" i="1"/>
  <c r="U8" i="1"/>
  <c r="U7" i="1"/>
  <c r="U6" i="1"/>
  <c r="Q82" i="2" l="1"/>
  <c r="R81" i="2"/>
  <c r="S81" i="2" s="1"/>
  <c r="N132" i="2"/>
  <c r="H133" i="2"/>
  <c r="H115" i="2" s="1"/>
  <c r="J41" i="2"/>
  <c r="O6" i="1"/>
  <c r="AB4" i="1"/>
  <c r="AB5" i="1"/>
  <c r="AB17" i="1"/>
  <c r="N7" i="1"/>
  <c r="N10" i="1" s="1"/>
  <c r="Y11" i="1"/>
  <c r="V11" i="1" s="1"/>
  <c r="AN11" i="1"/>
  <c r="AN12" i="1"/>
  <c r="AN10" i="1"/>
  <c r="AP3" i="1"/>
  <c r="AP4" i="1" s="1"/>
  <c r="AO3" i="1"/>
  <c r="AO4" i="1" s="1"/>
  <c r="AN3" i="1"/>
  <c r="AN4" i="1" s="1"/>
  <c r="AL13" i="1"/>
  <c r="AN13" i="1" s="1"/>
  <c r="AA24" i="1"/>
  <c r="Q83" i="2" l="1"/>
  <c r="R82" i="2"/>
  <c r="S82" i="2" s="1"/>
  <c r="N133" i="2"/>
  <c r="H116" i="2" s="1"/>
  <c r="K44" i="2"/>
  <c r="K43" i="2"/>
  <c r="K42" i="2"/>
  <c r="O42" i="2" s="1"/>
  <c r="K45" i="2"/>
  <c r="O7" i="1"/>
  <c r="AB23" i="1"/>
  <c r="AB24" i="1"/>
  <c r="AB22" i="1"/>
  <c r="AG22" i="1" s="1"/>
  <c r="N12" i="1"/>
  <c r="N11" i="1"/>
  <c r="AC3" i="1"/>
  <c r="O10" i="1"/>
  <c r="V10" i="1"/>
  <c r="V12" i="1"/>
  <c r="AR11" i="1"/>
  <c r="AR12" i="1"/>
  <c r="AA25" i="1"/>
  <c r="AB25" i="1" s="1"/>
  <c r="R83" i="2" l="1"/>
  <c r="S83" i="2" s="1"/>
  <c r="Q84" i="2"/>
  <c r="I125" i="2"/>
  <c r="I122" i="2"/>
  <c r="I121" i="2"/>
  <c r="I131" i="2"/>
  <c r="I124" i="2"/>
  <c r="I127" i="2"/>
  <c r="I128" i="2"/>
  <c r="I132" i="2"/>
  <c r="I123" i="2"/>
  <c r="I119" i="2"/>
  <c r="I120" i="2"/>
  <c r="I133" i="2"/>
  <c r="I130" i="2"/>
  <c r="I129" i="2"/>
  <c r="I126" i="2"/>
  <c r="O43" i="2"/>
  <c r="K40" i="2"/>
  <c r="O44" i="2"/>
  <c r="O45" i="2"/>
  <c r="AG23" i="1"/>
  <c r="O12" i="1"/>
  <c r="O11" i="1"/>
  <c r="AC4" i="1"/>
  <c r="AC5" i="1"/>
  <c r="AD3" i="1"/>
  <c r="AE3" i="1" s="1"/>
  <c r="AR13" i="1"/>
  <c r="AG24" i="1"/>
  <c r="AA26" i="1"/>
  <c r="AB26" i="1" s="1"/>
  <c r="Q85" i="2" l="1"/>
  <c r="R84" i="2"/>
  <c r="S84" i="2" s="1"/>
  <c r="I115" i="2"/>
  <c r="O132" i="2"/>
  <c r="O128" i="2"/>
  <c r="O124" i="2"/>
  <c r="O120" i="2"/>
  <c r="O131" i="2"/>
  <c r="O127" i="2"/>
  <c r="O119" i="2"/>
  <c r="O133" i="2"/>
  <c r="O129" i="2"/>
  <c r="O125" i="2"/>
  <c r="O121" i="2"/>
  <c r="O123" i="2"/>
  <c r="O130" i="2"/>
  <c r="O126" i="2"/>
  <c r="O122" i="2"/>
  <c r="K41" i="2"/>
  <c r="AC27" i="1"/>
  <c r="AC23" i="1"/>
  <c r="AC26" i="1"/>
  <c r="AC24" i="1"/>
  <c r="AC25" i="1"/>
  <c r="AC22" i="1"/>
  <c r="AD4" i="1"/>
  <c r="AD5" i="1"/>
  <c r="AE4" i="1"/>
  <c r="AE5" i="1"/>
  <c r="AS13" i="1"/>
  <c r="AS12" i="1"/>
  <c r="AS11" i="1"/>
  <c r="AS10" i="1"/>
  <c r="AG25" i="1"/>
  <c r="AA27" i="1"/>
  <c r="AB27" i="1" s="1"/>
  <c r="Q86" i="2" l="1"/>
  <c r="R85" i="2"/>
  <c r="S85" i="2" s="1"/>
  <c r="I116" i="2"/>
  <c r="AD28" i="1"/>
  <c r="AN5" i="1"/>
  <c r="AC18" i="1" s="1"/>
  <c r="AG26" i="1"/>
  <c r="AA28" i="1"/>
  <c r="Q87" i="2" l="1"/>
  <c r="R86" i="2"/>
  <c r="S86" i="2" s="1"/>
  <c r="J120" i="2"/>
  <c r="J132" i="2"/>
  <c r="J128" i="2"/>
  <c r="J124" i="2"/>
  <c r="J119" i="2"/>
  <c r="J133" i="2"/>
  <c r="J129" i="2"/>
  <c r="J125" i="2"/>
  <c r="J121" i="2"/>
  <c r="J130" i="2"/>
  <c r="J126" i="2"/>
  <c r="J122" i="2"/>
  <c r="J131" i="2"/>
  <c r="J127" i="2"/>
  <c r="J123" i="2"/>
  <c r="AB28" i="1"/>
  <c r="AC28" i="1"/>
  <c r="AE28" i="1"/>
  <c r="AO11" i="1"/>
  <c r="AO13" i="1"/>
  <c r="AO12" i="1"/>
  <c r="AO10" i="1"/>
  <c r="AG27" i="1"/>
  <c r="AA29" i="1"/>
  <c r="R87" i="2" l="1"/>
  <c r="S87" i="2" s="1"/>
  <c r="Q88" i="2"/>
  <c r="AB29" i="1"/>
  <c r="AC29" i="1"/>
  <c r="AG28" i="1"/>
  <c r="AA30" i="1"/>
  <c r="R88" i="2" l="1"/>
  <c r="S88" i="2" s="1"/>
  <c r="Q89" i="2"/>
  <c r="AB30" i="1"/>
  <c r="AC30" i="1"/>
  <c r="AG29" i="1"/>
  <c r="AA31" i="1"/>
  <c r="AG30" i="1"/>
  <c r="Q90" i="2" l="1"/>
  <c r="R89" i="2"/>
  <c r="S89" i="2" s="1"/>
  <c r="AB31" i="1"/>
  <c r="AC31" i="1"/>
  <c r="AA32" i="1"/>
  <c r="AG31" i="1"/>
  <c r="Q91" i="2" l="1"/>
  <c r="R90" i="2"/>
  <c r="S90" i="2" s="1"/>
  <c r="AB32" i="1"/>
  <c r="AC32" i="1"/>
  <c r="AA33" i="1"/>
  <c r="AG32" i="1"/>
  <c r="R91" i="2" l="1"/>
  <c r="S91" i="2" s="1"/>
  <c r="Q92" i="2"/>
  <c r="AB33" i="1"/>
  <c r="AG33" i="1" s="1"/>
  <c r="AC33" i="1"/>
  <c r="AA34" i="1"/>
  <c r="Q93" i="2" l="1"/>
  <c r="R92" i="2"/>
  <c r="S92" i="2" s="1"/>
  <c r="AB34" i="1"/>
  <c r="AC34" i="1"/>
  <c r="AA35" i="1"/>
  <c r="AG34" i="1"/>
  <c r="R93" i="2" l="1"/>
  <c r="S93" i="2" s="1"/>
  <c r="Q94" i="2"/>
  <c r="AB35" i="1"/>
  <c r="AC35" i="1"/>
  <c r="AA36" i="1"/>
  <c r="AG35" i="1"/>
  <c r="Q95" i="2" l="1"/>
  <c r="R94" i="2"/>
  <c r="S94" i="2" s="1"/>
  <c r="AB36" i="1"/>
  <c r="AC36" i="1"/>
  <c r="AA37" i="1"/>
  <c r="AG36" i="1"/>
  <c r="R95" i="2" l="1"/>
  <c r="S95" i="2" s="1"/>
  <c r="Q96" i="2"/>
  <c r="AB37" i="1"/>
  <c r="AC37" i="1"/>
  <c r="AA38" i="1"/>
  <c r="Q97" i="2" l="1"/>
  <c r="R96" i="2"/>
  <c r="S96" i="2" s="1"/>
  <c r="AB38" i="1"/>
  <c r="AC38" i="1"/>
  <c r="AA39" i="1"/>
  <c r="R97" i="2" l="1"/>
  <c r="S97" i="2" s="1"/>
  <c r="Q98" i="2"/>
  <c r="AB39" i="1"/>
  <c r="AC39" i="1"/>
  <c r="AA40" i="1"/>
  <c r="Q99" i="2" l="1"/>
  <c r="R98" i="2"/>
  <c r="S98" i="2" s="1"/>
  <c r="AB40" i="1"/>
  <c r="AC40" i="1"/>
  <c r="AA41" i="1"/>
  <c r="R99" i="2" l="1"/>
  <c r="S99" i="2" s="1"/>
  <c r="Q100" i="2"/>
  <c r="AB41" i="1"/>
  <c r="AC41" i="1"/>
  <c r="AA42" i="1"/>
  <c r="Q101" i="2" l="1"/>
  <c r="R100" i="2"/>
  <c r="S100" i="2" s="1"/>
  <c r="AB42" i="1"/>
  <c r="AC42" i="1"/>
  <c r="AA43" i="1"/>
  <c r="R101" i="2" l="1"/>
  <c r="S101" i="2" s="1"/>
  <c r="Q102" i="2"/>
  <c r="AB43" i="1"/>
  <c r="AC43" i="1"/>
  <c r="AA44" i="1"/>
  <c r="Q103" i="2" l="1"/>
  <c r="R102" i="2"/>
  <c r="S102" i="2" s="1"/>
  <c r="AB44" i="1"/>
  <c r="AC44" i="1"/>
  <c r="AA45" i="1"/>
  <c r="R103" i="2" l="1"/>
  <c r="S103" i="2" s="1"/>
  <c r="Q104" i="2"/>
  <c r="AB45" i="1"/>
  <c r="AB10" i="1" s="1"/>
  <c r="AC45" i="1"/>
  <c r="AC10" i="1" s="1"/>
  <c r="AG37" i="1"/>
  <c r="AG38" i="1"/>
  <c r="AG39" i="1"/>
  <c r="AG40" i="1"/>
  <c r="AG41" i="1"/>
  <c r="AG42" i="1"/>
  <c r="AG43" i="1"/>
  <c r="AG44" i="1"/>
  <c r="AG45" i="1"/>
  <c r="Q105" i="2" l="1"/>
  <c r="R104" i="2"/>
  <c r="S104" i="2" s="1"/>
  <c r="AH35" i="1"/>
  <c r="AH45" i="1"/>
  <c r="AH44" i="1"/>
  <c r="AH36" i="1"/>
  <c r="AH38" i="1"/>
  <c r="AH42" i="1"/>
  <c r="AH41" i="1"/>
  <c r="AH33" i="1"/>
  <c r="AH37" i="1"/>
  <c r="AH30" i="1"/>
  <c r="AH43" i="1"/>
  <c r="AH34" i="1"/>
  <c r="AH40" i="1"/>
  <c r="AH39" i="1"/>
  <c r="AH31" i="1"/>
  <c r="AH22" i="1"/>
  <c r="AC17" i="1" s="1"/>
  <c r="AH23" i="1"/>
  <c r="AH24" i="1"/>
  <c r="AH25" i="1"/>
  <c r="AH26" i="1"/>
  <c r="AH27" i="1"/>
  <c r="AH29" i="1"/>
  <c r="AH28" i="1"/>
  <c r="AH32" i="1"/>
  <c r="Q106" i="2" l="1"/>
  <c r="R105" i="2"/>
  <c r="S105" i="2" s="1"/>
  <c r="AD26" i="1"/>
  <c r="AD24" i="1"/>
  <c r="AD25" i="1"/>
  <c r="AD22" i="1"/>
  <c r="AD23" i="1"/>
  <c r="AD27" i="1"/>
  <c r="AD29" i="1"/>
  <c r="AD30" i="1"/>
  <c r="AD31" i="1"/>
  <c r="AD32" i="1"/>
  <c r="AD33" i="1"/>
  <c r="AD34" i="1"/>
  <c r="AD35" i="1"/>
  <c r="AD36" i="1"/>
  <c r="AD37" i="1"/>
  <c r="AD38" i="1"/>
  <c r="AD39" i="1"/>
  <c r="AD40" i="1"/>
  <c r="AD41" i="1"/>
  <c r="AD42" i="1"/>
  <c r="AD43" i="1"/>
  <c r="AD44" i="1"/>
  <c r="AD45" i="1"/>
  <c r="AT13" i="1"/>
  <c r="AT12" i="1"/>
  <c r="AT11" i="1"/>
  <c r="AT10" i="1"/>
  <c r="Q107" i="2" l="1"/>
  <c r="R106" i="2"/>
  <c r="S106" i="2" s="1"/>
  <c r="AD10" i="1"/>
  <c r="AO5" i="1"/>
  <c r="AD18" i="1" s="1"/>
  <c r="R107" i="2" l="1"/>
  <c r="S107" i="2" s="1"/>
  <c r="Q108" i="2"/>
  <c r="R108" i="2" s="1"/>
  <c r="AI24" i="1"/>
  <c r="AI33" i="1"/>
  <c r="AI28" i="1"/>
  <c r="AI31" i="1"/>
  <c r="AI27" i="1"/>
  <c r="AI34" i="1"/>
  <c r="AI26" i="1"/>
  <c r="AI36" i="1"/>
  <c r="AI35" i="1"/>
  <c r="AI30" i="1"/>
  <c r="AI29" i="1"/>
  <c r="AI23" i="1"/>
  <c r="AI22" i="1"/>
  <c r="AI25" i="1"/>
  <c r="AI32" i="1"/>
  <c r="AP13" i="1"/>
  <c r="AP12" i="1"/>
  <c r="AP10" i="1"/>
  <c r="AP11" i="1"/>
  <c r="S108" i="2" l="1"/>
  <c r="R56" i="2"/>
  <c r="R57" i="2" s="1"/>
  <c r="Q58" i="2"/>
  <c r="R3" i="13" s="1"/>
  <c r="AU12" i="1"/>
  <c r="AU11" i="1"/>
  <c r="AU10" i="1"/>
  <c r="AU13" i="1"/>
  <c r="C67" i="15" l="1"/>
  <c r="C56" i="15"/>
  <c r="C49" i="15"/>
  <c r="C40" i="15"/>
  <c r="C63" i="15"/>
  <c r="C54" i="15"/>
  <c r="C48" i="15"/>
  <c r="C38" i="15"/>
  <c r="C50" i="15"/>
  <c r="C61" i="15"/>
  <c r="C51" i="15"/>
  <c r="C46" i="15"/>
  <c r="C58" i="15"/>
  <c r="C44" i="15"/>
  <c r="C35" i="15"/>
  <c r="C32" i="15"/>
  <c r="C23" i="15"/>
  <c r="C14" i="15"/>
  <c r="C3" i="15"/>
  <c r="C19" i="15"/>
  <c r="C25" i="15"/>
  <c r="C7" i="15"/>
  <c r="C30" i="15"/>
  <c r="C21" i="15"/>
  <c r="C12" i="15"/>
  <c r="C28" i="15"/>
  <c r="C5" i="15"/>
  <c r="C16" i="15"/>
  <c r="D152" i="2"/>
  <c r="D151" i="2"/>
  <c r="C54" i="14"/>
  <c r="C21" i="14"/>
  <c r="C3" i="14"/>
  <c r="C52" i="14"/>
  <c r="C42" i="14"/>
  <c r="C32" i="14"/>
  <c r="C19" i="14"/>
  <c r="C15" i="14"/>
  <c r="C8" i="14"/>
  <c r="C37" i="14"/>
  <c r="C27" i="14"/>
  <c r="C5" i="14"/>
  <c r="C44" i="14"/>
  <c r="C9" i="14"/>
  <c r="C50" i="14"/>
  <c r="C39" i="14"/>
  <c r="C29" i="14"/>
  <c r="C18" i="14"/>
  <c r="C14" i="14"/>
  <c r="C6" i="14"/>
  <c r="C48" i="14"/>
  <c r="C17" i="14"/>
  <c r="C12" i="14"/>
  <c r="C34" i="14"/>
  <c r="C16" i="14"/>
  <c r="P36" i="12"/>
  <c r="P35" i="12"/>
  <c r="O35" i="12"/>
  <c r="P38" i="12"/>
  <c r="O36" i="12"/>
  <c r="P37" i="12"/>
  <c r="Y74" i="13"/>
  <c r="X72" i="13"/>
  <c r="O71" i="13"/>
  <c r="Y73" i="13"/>
  <c r="X71" i="13"/>
  <c r="C34" i="12"/>
  <c r="C73" i="13"/>
  <c r="H35" i="12"/>
  <c r="O74" i="13"/>
  <c r="C37" i="12"/>
  <c r="Y72" i="13"/>
  <c r="H38" i="12"/>
  <c r="C70" i="13"/>
  <c r="Y71" i="13"/>
  <c r="C32" i="13"/>
  <c r="C64" i="13"/>
  <c r="J9" i="13"/>
  <c r="AG62" i="13"/>
  <c r="AB62" i="13"/>
  <c r="S26" i="12"/>
  <c r="R26" i="12"/>
  <c r="L33" i="13"/>
  <c r="O25" i="13"/>
  <c r="C59" i="13"/>
  <c r="R75" i="13" s="1"/>
  <c r="F20" i="12" s="1"/>
  <c r="C18" i="13"/>
  <c r="W1" i="2"/>
  <c r="J11" i="13"/>
  <c r="C67" i="13"/>
  <c r="O36" i="13"/>
  <c r="O24" i="13"/>
  <c r="H29" i="12"/>
  <c r="L7" i="13"/>
  <c r="C41" i="13"/>
  <c r="R57" i="13" s="1"/>
  <c r="F19" i="12" s="1"/>
  <c r="C23" i="12"/>
  <c r="C12" i="13"/>
  <c r="O9" i="13"/>
  <c r="L20" i="13"/>
  <c r="L31" i="13" s="1"/>
  <c r="M8" i="13"/>
  <c r="C8" i="13"/>
  <c r="C21" i="13" s="1"/>
  <c r="O13" i="13"/>
  <c r="C28" i="12"/>
  <c r="W5" i="2"/>
  <c r="Z5" i="13" s="1"/>
  <c r="O28" i="12"/>
  <c r="L21" i="13"/>
  <c r="C6" i="13"/>
  <c r="R14" i="13" s="1"/>
  <c r="F16" i="12" s="1"/>
  <c r="C47" i="13"/>
  <c r="J24" i="13"/>
  <c r="J23" i="13"/>
  <c r="O68" i="13"/>
  <c r="AH62" i="13"/>
  <c r="W64" i="13"/>
  <c r="AF62" i="13"/>
  <c r="V26" i="12"/>
  <c r="B3" i="10"/>
  <c r="C16" i="13"/>
  <c r="R26" i="13" s="1"/>
  <c r="F17" i="12" s="1"/>
  <c r="O10" i="13"/>
  <c r="O35" i="13"/>
  <c r="H32" i="12"/>
  <c r="B49" i="8"/>
  <c r="C25" i="12"/>
  <c r="C45" i="13"/>
  <c r="C22" i="13"/>
  <c r="O11" i="13"/>
  <c r="W4" i="2"/>
  <c r="L32" i="13"/>
  <c r="C23" i="13"/>
  <c r="W7" i="2"/>
  <c r="Z7" i="13" s="1"/>
  <c r="C10" i="13"/>
  <c r="C51" i="13"/>
  <c r="O34" i="13"/>
  <c r="L8" i="13"/>
  <c r="C10" i="12"/>
  <c r="O65" i="13"/>
  <c r="AE62" i="13"/>
  <c r="C48" i="13"/>
  <c r="H26" i="12"/>
  <c r="C61" i="13"/>
  <c r="J22" i="13"/>
  <c r="C28" i="13"/>
  <c r="R39" i="13" s="1"/>
  <c r="F18" i="12" s="1"/>
  <c r="W2" i="2"/>
  <c r="C54" i="13"/>
  <c r="Y26" i="12"/>
  <c r="AA62" i="13"/>
  <c r="X64" i="13"/>
  <c r="W26" i="12"/>
  <c r="E3" i="10"/>
  <c r="N38" i="12" s="1"/>
  <c r="C3" i="13"/>
  <c r="M21" i="13"/>
  <c r="C8" i="12"/>
  <c r="C52" i="13"/>
  <c r="C15" i="12"/>
  <c r="O23" i="13"/>
  <c r="O38" i="13"/>
  <c r="C30" i="13"/>
  <c r="O62" i="13"/>
  <c r="C7" i="13"/>
  <c r="C20" i="13" s="1"/>
  <c r="C56" i="13"/>
  <c r="C50" i="13"/>
  <c r="C43" i="13"/>
  <c r="O12" i="13"/>
  <c r="F15" i="12"/>
  <c r="C9" i="13"/>
  <c r="O37" i="13"/>
  <c r="J10" i="13"/>
  <c r="X26" i="12"/>
  <c r="N28" i="12"/>
  <c r="C55" i="13"/>
  <c r="C46" i="13"/>
  <c r="A49" i="8"/>
  <c r="F10" i="12"/>
  <c r="C31" i="12"/>
  <c r="O22" i="13"/>
  <c r="C78" i="2"/>
  <c r="C62" i="2"/>
  <c r="C99" i="2"/>
  <c r="C69" i="2"/>
  <c r="C67" i="2"/>
  <c r="C76" i="2"/>
  <c r="C60" i="2"/>
  <c r="C133" i="2"/>
  <c r="C129" i="2"/>
  <c r="C124" i="2"/>
  <c r="C120" i="2"/>
  <c r="C28" i="2"/>
  <c r="E28" i="2" s="1"/>
  <c r="C35" i="2"/>
  <c r="E35" i="2" s="1"/>
  <c r="C29" i="2"/>
  <c r="E29" i="2" s="1"/>
  <c r="C15" i="2"/>
  <c r="C30" i="2"/>
  <c r="E30" i="2" s="1"/>
  <c r="C31" i="2"/>
  <c r="E31" i="2" s="1"/>
  <c r="A3" i="2"/>
  <c r="C103" i="2"/>
  <c r="C80" i="2"/>
  <c r="C127" i="2"/>
  <c r="C23" i="2"/>
  <c r="E23" i="2" s="1"/>
  <c r="C26" i="2"/>
  <c r="E26" i="2" s="1"/>
  <c r="C104" i="2"/>
  <c r="C74" i="2"/>
  <c r="C79" i="2"/>
  <c r="C81" i="2"/>
  <c r="C65" i="2"/>
  <c r="C102" i="2"/>
  <c r="C72" i="2"/>
  <c r="C101" i="2"/>
  <c r="C130" i="2"/>
  <c r="C119" i="2"/>
  <c r="C122" i="2"/>
  <c r="C125" i="2"/>
  <c r="C16" i="2"/>
  <c r="E16" i="2" s="1"/>
  <c r="C32" i="2"/>
  <c r="E32" i="2" s="1"/>
  <c r="C17" i="2"/>
  <c r="E17" i="2" s="1"/>
  <c r="C33" i="2"/>
  <c r="E33" i="2" s="1"/>
  <c r="C18" i="2"/>
  <c r="E18" i="2" s="1"/>
  <c r="C34" i="2"/>
  <c r="E34" i="2" s="1"/>
  <c r="A4" i="2"/>
  <c r="A5" i="2"/>
  <c r="C82" i="2"/>
  <c r="C73" i="2"/>
  <c r="C75" i="2"/>
  <c r="C71" i="2"/>
  <c r="C121" i="2"/>
  <c r="C25" i="2"/>
  <c r="E25" i="2" s="1"/>
  <c r="C19" i="2"/>
  <c r="E19" i="2" s="1"/>
  <c r="C100" i="2"/>
  <c r="C70" i="2"/>
  <c r="C63" i="2"/>
  <c r="C77" i="2"/>
  <c r="C61" i="2"/>
  <c r="C84" i="2"/>
  <c r="C68" i="2"/>
  <c r="C83" i="2"/>
  <c r="C126" i="2"/>
  <c r="C123" i="2"/>
  <c r="C132" i="2"/>
  <c r="C131" i="2"/>
  <c r="C20" i="2"/>
  <c r="E20" i="2" s="1"/>
  <c r="C36" i="2"/>
  <c r="E36" i="2" s="1"/>
  <c r="C21" i="2"/>
  <c r="E21" i="2" s="1"/>
  <c r="C37" i="2"/>
  <c r="E37" i="2" s="1"/>
  <c r="C22" i="2"/>
  <c r="E22" i="2" s="1"/>
  <c r="C38" i="2"/>
  <c r="E38" i="2" s="1"/>
  <c r="A6" i="2"/>
  <c r="C66" i="2"/>
  <c r="C64" i="2"/>
  <c r="C128" i="2"/>
  <c r="C24" i="2"/>
  <c r="E24" i="2" s="1"/>
  <c r="C27" i="2"/>
  <c r="E27" i="2" s="1"/>
  <c r="A7" i="2"/>
  <c r="AP5" i="1"/>
  <c r="AE18" i="1" s="1"/>
  <c r="AA10" i="13"/>
  <c r="Z11" i="13"/>
  <c r="Z34" i="13"/>
  <c r="Z10" i="13"/>
  <c r="Z24" i="13"/>
  <c r="AA12" i="13"/>
  <c r="AA22" i="13"/>
  <c r="AA23" i="13"/>
  <c r="Z9" i="13"/>
  <c r="Z12" i="13"/>
  <c r="Z35" i="13"/>
  <c r="AA24" i="13"/>
  <c r="Z23" i="13"/>
  <c r="AA9" i="13"/>
  <c r="AA11" i="13"/>
  <c r="Z37" i="13"/>
  <c r="Z36" i="13"/>
  <c r="Z22" i="13"/>
  <c r="W74" i="13" l="1"/>
  <c r="W68" i="13"/>
  <c r="W65" i="13"/>
  <c r="N29" i="12"/>
  <c r="O29" i="12" s="1"/>
  <c r="N32" i="12"/>
  <c r="O32" i="12" s="1"/>
  <c r="D153" i="2"/>
  <c r="AA61" i="2"/>
  <c r="Y61" i="2"/>
  <c r="AE61" i="2"/>
  <c r="AC61" i="2"/>
  <c r="AE19" i="2"/>
  <c r="AC19" i="2"/>
  <c r="AA19" i="2"/>
  <c r="Y19" i="2"/>
  <c r="AA17" i="2"/>
  <c r="Y17" i="2"/>
  <c r="AC17" i="2"/>
  <c r="AE17" i="2"/>
  <c r="AC32" i="2"/>
  <c r="AB32" i="2" s="1"/>
  <c r="AE32" i="2"/>
  <c r="AD32" i="2" s="1"/>
  <c r="AA32" i="2"/>
  <c r="Z32" i="2" s="1"/>
  <c r="Y32" i="2"/>
  <c r="X32" i="2" s="1"/>
  <c r="D8" i="13"/>
  <c r="D21" i="13" s="1"/>
  <c r="A49" i="2"/>
  <c r="B16" i="2"/>
  <c r="D16" i="2" s="1"/>
  <c r="B19" i="2"/>
  <c r="D19" i="2" s="1"/>
  <c r="AA3" i="2"/>
  <c r="B18" i="2"/>
  <c r="D18" i="2" s="1"/>
  <c r="B21" i="2"/>
  <c r="D21" i="2" s="1"/>
  <c r="B17" i="2"/>
  <c r="D17" i="2" s="1"/>
  <c r="B15" i="2"/>
  <c r="D15" i="2" s="1"/>
  <c r="B20" i="2"/>
  <c r="D20" i="2" s="1"/>
  <c r="B22" i="2"/>
  <c r="D22" i="2" s="1"/>
  <c r="C5" i="2"/>
  <c r="F5" i="2" s="1"/>
  <c r="B146" i="2"/>
  <c r="B149" i="2" s="1"/>
  <c r="E55" i="2"/>
  <c r="E76" i="2" s="1"/>
  <c r="B79" i="8"/>
  <c r="C79" i="8" s="1"/>
  <c r="D79" i="8" s="1"/>
  <c r="Z4" i="13"/>
  <c r="C7" i="2"/>
  <c r="F7" i="2" s="1"/>
  <c r="E94" i="2"/>
  <c r="E104" i="2" s="1"/>
  <c r="C3" i="2"/>
  <c r="F16" i="2" s="1"/>
  <c r="C6" i="2"/>
  <c r="F6" i="2" s="1"/>
  <c r="B138" i="2"/>
  <c r="B85" i="8"/>
  <c r="C85" i="8" s="1"/>
  <c r="D85" i="8" s="1"/>
  <c r="C4" i="2"/>
  <c r="F4" i="2" s="1"/>
  <c r="B152" i="2"/>
  <c r="B155" i="2" s="1"/>
  <c r="B137" i="2"/>
  <c r="H136" i="2"/>
  <c r="O113" i="2"/>
  <c r="AE21" i="2"/>
  <c r="AA21" i="2"/>
  <c r="AC21" i="2"/>
  <c r="Y21" i="2"/>
  <c r="AC53" i="2"/>
  <c r="AA53" i="2"/>
  <c r="Y53" i="2"/>
  <c r="AE53" i="2"/>
  <c r="AA59" i="2"/>
  <c r="AC59" i="2"/>
  <c r="AB59" i="2" s="1"/>
  <c r="Y59" i="2"/>
  <c r="X59" i="2" s="1"/>
  <c r="AE59" i="2"/>
  <c r="AD59" i="2" s="1"/>
  <c r="AA33" i="2"/>
  <c r="Y33" i="2"/>
  <c r="AC33" i="2"/>
  <c r="AE33" i="2"/>
  <c r="AE34" i="2"/>
  <c r="AC34" i="2"/>
  <c r="Y34" i="2"/>
  <c r="AA34" i="2"/>
  <c r="AC51" i="2"/>
  <c r="Y51" i="2"/>
  <c r="AE51" i="2"/>
  <c r="AA51" i="2"/>
  <c r="AE60" i="2"/>
  <c r="Y60" i="2"/>
  <c r="AA60" i="2"/>
  <c r="AC60" i="2"/>
  <c r="Y16" i="2"/>
  <c r="AE16" i="2"/>
  <c r="AC16" i="2"/>
  <c r="AA16" i="2"/>
  <c r="AA44" i="2"/>
  <c r="Y44" i="2"/>
  <c r="AC44" i="2"/>
  <c r="AE44" i="2"/>
  <c r="B61" i="8"/>
  <c r="C61" i="8" s="1"/>
  <c r="D61" i="8" s="1"/>
  <c r="B67" i="8"/>
  <c r="C67" i="8" s="1"/>
  <c r="D67" i="8" s="1"/>
  <c r="B75" i="8"/>
  <c r="C75" i="8" s="1"/>
  <c r="D75" i="8" s="1"/>
  <c r="B66" i="8"/>
  <c r="C66" i="8" s="1"/>
  <c r="D66" i="8" s="1"/>
  <c r="B87" i="8"/>
  <c r="C87" i="8" s="1"/>
  <c r="D87" i="8" s="1"/>
  <c r="B86" i="8"/>
  <c r="C86" i="8" s="1"/>
  <c r="D86" i="8" s="1"/>
  <c r="B60" i="8"/>
  <c r="C60" i="8" s="1"/>
  <c r="D60" i="8" s="1"/>
  <c r="B72" i="8"/>
  <c r="C72" i="8" s="1"/>
  <c r="D72" i="8" s="1"/>
  <c r="B89" i="8"/>
  <c r="C89" i="8" s="1"/>
  <c r="D89" i="8" s="1"/>
  <c r="B58" i="8"/>
  <c r="C58" i="8" s="1"/>
  <c r="D58" i="8" s="1"/>
  <c r="B73" i="8"/>
  <c r="C73" i="8" s="1"/>
  <c r="D73" i="8" s="1"/>
  <c r="B59" i="8"/>
  <c r="C59" i="8" s="1"/>
  <c r="D59" i="8" s="1"/>
  <c r="B74" i="8"/>
  <c r="C74" i="8" s="1"/>
  <c r="D74" i="8" s="1"/>
  <c r="B91" i="8"/>
  <c r="C91" i="8" s="1"/>
  <c r="D91" i="8" s="1"/>
  <c r="B57" i="8"/>
  <c r="F1" i="10"/>
  <c r="T26" i="12" s="1"/>
  <c r="P26" i="12"/>
  <c r="D1" i="10"/>
  <c r="I29" i="12" s="1"/>
  <c r="X68" i="13"/>
  <c r="Y62" i="13"/>
  <c r="A1" i="10"/>
  <c r="R65" i="13" s="1"/>
  <c r="X65" i="13"/>
  <c r="C1" i="10"/>
  <c r="AA41" i="2"/>
  <c r="Z41" i="2" s="1"/>
  <c r="AC41" i="2"/>
  <c r="AB41" i="2" s="1"/>
  <c r="Y41" i="2"/>
  <c r="X41" i="2" s="1"/>
  <c r="AE41" i="2"/>
  <c r="AD41" i="2" s="1"/>
  <c r="B26" i="2"/>
  <c r="D26" i="2" s="1"/>
  <c r="B25" i="2"/>
  <c r="D25" i="2" s="1"/>
  <c r="B24" i="2"/>
  <c r="D24" i="2" s="1"/>
  <c r="B23" i="2"/>
  <c r="D23" i="2" s="1"/>
  <c r="A50" i="2"/>
  <c r="E8" i="13"/>
  <c r="E21" i="13" s="1"/>
  <c r="AA4" i="2"/>
  <c r="AE43" i="2"/>
  <c r="Y43" i="2"/>
  <c r="AA43" i="2"/>
  <c r="AC43" i="2"/>
  <c r="G8" i="13"/>
  <c r="G21" i="13" s="1"/>
  <c r="B31" i="2"/>
  <c r="D31" i="2" s="1"/>
  <c r="AA6" i="2"/>
  <c r="B34" i="2"/>
  <c r="D34" i="2" s="1"/>
  <c r="B32" i="2"/>
  <c r="D32" i="2" s="1"/>
  <c r="A51" i="2"/>
  <c r="B33" i="2"/>
  <c r="D33" i="2" s="1"/>
  <c r="AA50" i="2"/>
  <c r="Y50" i="2"/>
  <c r="X50" i="2" s="1"/>
  <c r="AC50" i="2"/>
  <c r="AB50" i="2" s="1"/>
  <c r="AE50" i="2"/>
  <c r="AD50" i="2" s="1"/>
  <c r="AC62" i="2"/>
  <c r="Y62" i="2"/>
  <c r="AE62" i="2"/>
  <c r="AA62" i="2"/>
  <c r="AE18" i="2"/>
  <c r="AC18" i="2"/>
  <c r="AA18" i="2"/>
  <c r="Y18" i="2"/>
  <c r="Y42" i="2"/>
  <c r="AE42" i="2"/>
  <c r="AC42" i="2"/>
  <c r="AA42" i="2"/>
  <c r="A52" i="2"/>
  <c r="AA7" i="2"/>
  <c r="B36" i="2"/>
  <c r="D36" i="2" s="1"/>
  <c r="B38" i="2"/>
  <c r="D38" i="2" s="1"/>
  <c r="B37" i="2"/>
  <c r="D37" i="2" s="1"/>
  <c r="H8" i="13"/>
  <c r="H21" i="13" s="1"/>
  <c r="B35" i="2"/>
  <c r="D35" i="2" s="1"/>
  <c r="AE22" i="2"/>
  <c r="AC22" i="2"/>
  <c r="AA22" i="2"/>
  <c r="Y22" i="2"/>
  <c r="AA20" i="2"/>
  <c r="AE20" i="2"/>
  <c r="AC20" i="2"/>
  <c r="Y20" i="2"/>
  <c r="F8" i="13"/>
  <c r="F21" i="13" s="1"/>
  <c r="B28" i="2"/>
  <c r="D28" i="2" s="1"/>
  <c r="AA5" i="2"/>
  <c r="B27" i="2"/>
  <c r="D27" i="2" s="1"/>
  <c r="B30" i="2"/>
  <c r="D30" i="2" s="1"/>
  <c r="B29" i="2"/>
  <c r="D29" i="2" s="1"/>
  <c r="AC52" i="2"/>
  <c r="AA52" i="2"/>
  <c r="Y52" i="2"/>
  <c r="AE52" i="2"/>
  <c r="AC35" i="2"/>
  <c r="Y35" i="2"/>
  <c r="AA35" i="2"/>
  <c r="AE35" i="2"/>
  <c r="B62" i="8"/>
  <c r="C62" i="8" s="1"/>
  <c r="B63" i="8"/>
  <c r="C63" i="8" s="1"/>
  <c r="D63" i="8" s="1"/>
  <c r="E15" i="2"/>
  <c r="B64" i="8"/>
  <c r="C64" i="8" s="1"/>
  <c r="D64" i="8" s="1"/>
  <c r="B65" i="8"/>
  <c r="C65" i="8" s="1"/>
  <c r="D65" i="8" s="1"/>
  <c r="B77" i="8"/>
  <c r="C77" i="8" s="1"/>
  <c r="D77" i="8" s="1"/>
  <c r="B76" i="8"/>
  <c r="C76" i="8" s="1"/>
  <c r="D76" i="8" s="1"/>
  <c r="B78" i="8"/>
  <c r="C78" i="8" s="1"/>
  <c r="D78" i="8" s="1"/>
  <c r="B84" i="8"/>
  <c r="C84" i="8" s="1"/>
  <c r="D84" i="8" s="1"/>
  <c r="B81" i="8"/>
  <c r="C81" i="8" s="1"/>
  <c r="D81" i="8" s="1"/>
  <c r="B83" i="8"/>
  <c r="C83" i="8" s="1"/>
  <c r="D83" i="8" s="1"/>
  <c r="B82" i="8"/>
  <c r="C82" i="8" s="1"/>
  <c r="D82" i="8" s="1"/>
  <c r="AI41" i="1"/>
  <c r="AI44" i="1"/>
  <c r="AI40" i="1"/>
  <c r="AI45" i="1"/>
  <c r="AI43" i="1"/>
  <c r="AI42" i="1"/>
  <c r="AI39" i="1"/>
  <c r="AI38" i="1"/>
  <c r="AI37" i="1"/>
  <c r="E63" i="2" l="1"/>
  <c r="AA73" i="2" s="1"/>
  <c r="E62" i="2"/>
  <c r="AC72" i="2" s="1"/>
  <c r="E83" i="2"/>
  <c r="Y115" i="2" s="1"/>
  <c r="E100" i="2"/>
  <c r="AC129" i="2" s="1"/>
  <c r="E82" i="2"/>
  <c r="AC114" i="2" s="1"/>
  <c r="I32" i="12"/>
  <c r="I38" i="12"/>
  <c r="R68" i="13"/>
  <c r="R74" i="13"/>
  <c r="E103" i="2"/>
  <c r="AE132" i="2" s="1"/>
  <c r="F26" i="2"/>
  <c r="AB42" i="2"/>
  <c r="AB43" i="2" s="1"/>
  <c r="AB44" i="2" s="1"/>
  <c r="AD42" i="2"/>
  <c r="AD43" i="2" s="1"/>
  <c r="AD44" i="2" s="1"/>
  <c r="AD60" i="2"/>
  <c r="AD61" i="2" s="1"/>
  <c r="AD62" i="2" s="1"/>
  <c r="AE7" i="2" s="1"/>
  <c r="Z33" i="2"/>
  <c r="Z34" i="2" s="1"/>
  <c r="Z35" i="2" s="1"/>
  <c r="X60" i="2"/>
  <c r="X61" i="2" s="1"/>
  <c r="X62" i="2" s="1"/>
  <c r="X42" i="2"/>
  <c r="X43" i="2" s="1"/>
  <c r="X44" i="2" s="1"/>
  <c r="Y47" i="2" s="1"/>
  <c r="X33" i="2"/>
  <c r="X34" i="2" s="1"/>
  <c r="X35" i="2" s="1"/>
  <c r="AD51" i="2"/>
  <c r="AE55" i="2" s="1"/>
  <c r="F33" i="2"/>
  <c r="F30" i="2"/>
  <c r="F24" i="2"/>
  <c r="F22" i="2"/>
  <c r="F18" i="2"/>
  <c r="D4" i="2"/>
  <c r="G4" i="2" s="1"/>
  <c r="E61" i="2"/>
  <c r="AA71" i="2" s="1"/>
  <c r="E70" i="2"/>
  <c r="Y91" i="2" s="1"/>
  <c r="X91" i="2" s="1"/>
  <c r="F29" i="2"/>
  <c r="E66" i="2"/>
  <c r="AC76" i="2" s="1"/>
  <c r="E80" i="2"/>
  <c r="Y112" i="2" s="1"/>
  <c r="AD52" i="2"/>
  <c r="AD53" i="2" s="1"/>
  <c r="E78" i="2"/>
  <c r="AA103" i="2" s="1"/>
  <c r="E99" i="2"/>
  <c r="AE128" i="2" s="1"/>
  <c r="AD128" i="2" s="1"/>
  <c r="E60" i="2"/>
  <c r="AA70" i="2" s="1"/>
  <c r="Z70" i="2" s="1"/>
  <c r="E81" i="2"/>
  <c r="Y113" i="2" s="1"/>
  <c r="E102" i="2"/>
  <c r="AE131" i="2" s="1"/>
  <c r="E79" i="2"/>
  <c r="AA111" i="2" s="1"/>
  <c r="Z111" i="2" s="1"/>
  <c r="E75" i="2"/>
  <c r="Y100" i="2" s="1"/>
  <c r="E65" i="2"/>
  <c r="Y75" i="2" s="1"/>
  <c r="AB60" i="2"/>
  <c r="AB61" i="2" s="1"/>
  <c r="AB62" i="2" s="1"/>
  <c r="AC66" i="2" s="1"/>
  <c r="E67" i="2"/>
  <c r="AA77" i="2" s="1"/>
  <c r="X51" i="2"/>
  <c r="X52" i="2" s="1"/>
  <c r="X53" i="2" s="1"/>
  <c r="AB33" i="2"/>
  <c r="AB34" i="2" s="1"/>
  <c r="E68" i="2"/>
  <c r="AC78" i="2" s="1"/>
  <c r="E72" i="2"/>
  <c r="AC93" i="2" s="1"/>
  <c r="E84" i="2"/>
  <c r="AA116" i="2" s="1"/>
  <c r="AD33" i="2"/>
  <c r="AD34" i="2" s="1"/>
  <c r="AD35" i="2" s="1"/>
  <c r="E101" i="2"/>
  <c r="AE130" i="2" s="1"/>
  <c r="E71" i="2"/>
  <c r="Y92" i="2" s="1"/>
  <c r="E64" i="2"/>
  <c r="AA74" i="2" s="1"/>
  <c r="Z42" i="2"/>
  <c r="Z43" i="2" s="1"/>
  <c r="Z44" i="2" s="1"/>
  <c r="AA45" i="2" s="1"/>
  <c r="E73" i="2"/>
  <c r="AC98" i="2" s="1"/>
  <c r="AB98" i="2" s="1"/>
  <c r="E77" i="2"/>
  <c r="AC102" i="2" s="1"/>
  <c r="E69" i="2"/>
  <c r="Y79" i="2" s="1"/>
  <c r="E74" i="2"/>
  <c r="AA99" i="2" s="1"/>
  <c r="AB51" i="2"/>
  <c r="AB52" i="2" s="1"/>
  <c r="AB53" i="2" s="1"/>
  <c r="F17" i="2"/>
  <c r="AC101" i="2"/>
  <c r="AA101" i="2"/>
  <c r="Y101" i="2"/>
  <c r="Y45" i="2"/>
  <c r="D5" i="2"/>
  <c r="G5" i="2" s="1"/>
  <c r="AA11" i="2"/>
  <c r="B80" i="2"/>
  <c r="D80" i="2" s="1"/>
  <c r="B81" i="2"/>
  <c r="D81" i="2" s="1"/>
  <c r="B83" i="2"/>
  <c r="D83" i="2" s="1"/>
  <c r="B84" i="2"/>
  <c r="D84" i="2" s="1"/>
  <c r="B79" i="2"/>
  <c r="D79" i="2" s="1"/>
  <c r="B82" i="2"/>
  <c r="D82" i="2" s="1"/>
  <c r="C57" i="8"/>
  <c r="D57" i="8" s="1"/>
  <c r="B95" i="8"/>
  <c r="F21" i="2"/>
  <c r="AA8" i="2"/>
  <c r="B67" i="2"/>
  <c r="D67" i="2" s="1"/>
  <c r="B64" i="2"/>
  <c r="D64" i="2" s="1"/>
  <c r="B69" i="2"/>
  <c r="D69" i="2" s="1"/>
  <c r="B65" i="2"/>
  <c r="D65" i="2" s="1"/>
  <c r="B62" i="2"/>
  <c r="D62" i="2" s="1"/>
  <c r="B68" i="2"/>
  <c r="D68" i="2" s="1"/>
  <c r="B61" i="2"/>
  <c r="D61" i="2" s="1"/>
  <c r="B66" i="2"/>
  <c r="D66" i="2" s="1"/>
  <c r="B63" i="2"/>
  <c r="D63" i="2" s="1"/>
  <c r="B60" i="2"/>
  <c r="D60" i="2" s="1"/>
  <c r="D7" i="2"/>
  <c r="F28" i="2"/>
  <c r="F38" i="2"/>
  <c r="Y54" i="2"/>
  <c r="F27" i="2"/>
  <c r="F32" i="2"/>
  <c r="F35" i="2"/>
  <c r="F3" i="2"/>
  <c r="AE36" i="2"/>
  <c r="F19" i="2"/>
  <c r="AE54" i="2"/>
  <c r="Y63" i="2"/>
  <c r="AE15" i="2"/>
  <c r="AD15" i="2" s="1"/>
  <c r="AC15" i="2"/>
  <c r="AB15" i="2" s="1"/>
  <c r="AB16" i="2" s="1"/>
  <c r="AB17" i="2" s="1"/>
  <c r="AB18" i="2" s="1"/>
  <c r="AB19" i="2" s="1"/>
  <c r="AB20" i="2" s="1"/>
  <c r="AB21" i="2" s="1"/>
  <c r="AB22" i="2" s="1"/>
  <c r="AD3" i="2" s="1"/>
  <c r="AA15" i="2"/>
  <c r="Z15" i="2" s="1"/>
  <c r="Z16" i="2" s="1"/>
  <c r="Z17" i="2" s="1"/>
  <c r="Z18" i="2" s="1"/>
  <c r="Z19" i="2" s="1"/>
  <c r="Z20" i="2" s="1"/>
  <c r="Z21" i="2" s="1"/>
  <c r="Z22" i="2" s="1"/>
  <c r="Y15" i="2"/>
  <c r="X15" i="2" s="1"/>
  <c r="X16" i="2" s="1"/>
  <c r="X17" i="2" s="1"/>
  <c r="X18" i="2" s="1"/>
  <c r="X19" i="2" s="1"/>
  <c r="X20" i="2" s="1"/>
  <c r="X21" i="2" s="1"/>
  <c r="X22" i="2" s="1"/>
  <c r="I10" i="2"/>
  <c r="H10" i="2"/>
  <c r="F15" i="2"/>
  <c r="J10" i="2"/>
  <c r="K10" i="2"/>
  <c r="AA10" i="2"/>
  <c r="B74" i="2"/>
  <c r="D74" i="2" s="1"/>
  <c r="B73" i="2"/>
  <c r="D73" i="2" s="1"/>
  <c r="B76" i="2"/>
  <c r="D76" i="2" s="1"/>
  <c r="B75" i="2"/>
  <c r="D75" i="2" s="1"/>
  <c r="B78" i="2"/>
  <c r="D78" i="2" s="1"/>
  <c r="B77" i="2"/>
  <c r="D77" i="2" s="1"/>
  <c r="AA9" i="2"/>
  <c r="B70" i="2"/>
  <c r="D70" i="2" s="1"/>
  <c r="B72" i="2"/>
  <c r="D72" i="2" s="1"/>
  <c r="B71" i="2"/>
  <c r="D71" i="2" s="1"/>
  <c r="AC45" i="2"/>
  <c r="AC63" i="2"/>
  <c r="D62" i="8"/>
  <c r="F20" i="2"/>
  <c r="AC133" i="2"/>
  <c r="AA133" i="2"/>
  <c r="Y133" i="2"/>
  <c r="AE133" i="2"/>
  <c r="F31" i="2"/>
  <c r="D6" i="2"/>
  <c r="AA72" i="2"/>
  <c r="F36" i="2"/>
  <c r="F25" i="2"/>
  <c r="F34" i="2"/>
  <c r="M72" i="8"/>
  <c r="N72" i="8" s="1"/>
  <c r="O72" i="8" s="1"/>
  <c r="M60" i="8"/>
  <c r="N60" i="8" s="1"/>
  <c r="O60" i="8" s="1"/>
  <c r="M66" i="8"/>
  <c r="N66" i="8" s="1"/>
  <c r="O66" i="8" s="1"/>
  <c r="M83" i="8"/>
  <c r="N83" i="8" s="1"/>
  <c r="O83" i="8" s="1"/>
  <c r="M54" i="8"/>
  <c r="N54" i="8" s="1"/>
  <c r="O54" i="8" s="1"/>
  <c r="C49" i="2"/>
  <c r="E50" i="2"/>
  <c r="E49" i="2"/>
  <c r="E52" i="2"/>
  <c r="E51" i="2"/>
  <c r="D3" i="2"/>
  <c r="F23" i="2"/>
  <c r="F37" i="2"/>
  <c r="AD17" i="1"/>
  <c r="AE27" i="1" s="1"/>
  <c r="AC73" i="2" l="1"/>
  <c r="Y73" i="2"/>
  <c r="Y72" i="2"/>
  <c r="AA114" i="2"/>
  <c r="AC132" i="2"/>
  <c r="AC115" i="2"/>
  <c r="AA115" i="2"/>
  <c r="AA132" i="2"/>
  <c r="AE129" i="2"/>
  <c r="AA129" i="2"/>
  <c r="Y129" i="2"/>
  <c r="F62" i="2"/>
  <c r="AD5" i="2"/>
  <c r="AC47" i="2"/>
  <c r="Y78" i="2"/>
  <c r="Y65" i="2"/>
  <c r="Y114" i="2"/>
  <c r="AA78" i="2"/>
  <c r="Y132" i="2"/>
  <c r="AA131" i="2"/>
  <c r="AD7" i="2"/>
  <c r="C50" i="2"/>
  <c r="F70" i="2" s="1"/>
  <c r="AC46" i="2"/>
  <c r="AC48" i="2"/>
  <c r="Y70" i="2"/>
  <c r="X70" i="2" s="1"/>
  <c r="Y80" i="2" s="1"/>
  <c r="AA102" i="2"/>
  <c r="Y46" i="2"/>
  <c r="AC74" i="2"/>
  <c r="Y116" i="2"/>
  <c r="AA112" i="2"/>
  <c r="Z112" i="2" s="1"/>
  <c r="Y55" i="2"/>
  <c r="Y71" i="2"/>
  <c r="AA79" i="2"/>
  <c r="AE38" i="2"/>
  <c r="AE6" i="2"/>
  <c r="AA113" i="2"/>
  <c r="D52" i="2"/>
  <c r="AC128" i="2"/>
  <c r="AB128" i="2" s="1"/>
  <c r="AB129" i="2" s="1"/>
  <c r="AC116" i="2"/>
  <c r="AC100" i="2"/>
  <c r="AA91" i="2"/>
  <c r="Z91" i="2" s="1"/>
  <c r="AA94" i="2" s="1"/>
  <c r="AC75" i="2"/>
  <c r="Y74" i="2"/>
  <c r="AC112" i="2"/>
  <c r="AA100" i="2"/>
  <c r="AC71" i="2"/>
  <c r="AC70" i="2"/>
  <c r="AB70" i="2" s="1"/>
  <c r="AC79" i="2"/>
  <c r="AC77" i="2"/>
  <c r="H55" i="2"/>
  <c r="H49" i="2" s="1"/>
  <c r="AE46" i="2"/>
  <c r="AA36" i="2"/>
  <c r="AE64" i="2"/>
  <c r="AE45" i="2"/>
  <c r="AE63" i="2"/>
  <c r="AC65" i="2"/>
  <c r="Y64" i="2"/>
  <c r="AC64" i="2"/>
  <c r="AC55" i="2"/>
  <c r="AB7" i="2"/>
  <c r="Y66" i="2"/>
  <c r="Y102" i="2"/>
  <c r="Y76" i="2"/>
  <c r="AA93" i="2"/>
  <c r="Y128" i="2"/>
  <c r="X128" i="2" s="1"/>
  <c r="Y111" i="2"/>
  <c r="X111" i="2" s="1"/>
  <c r="X112" i="2" s="1"/>
  <c r="AC92" i="2"/>
  <c r="I94" i="2"/>
  <c r="C95" i="8"/>
  <c r="AA76" i="2"/>
  <c r="Y93" i="2"/>
  <c r="H94" i="2"/>
  <c r="AA128" i="2"/>
  <c r="Z128" i="2" s="1"/>
  <c r="AC111" i="2"/>
  <c r="AB111" i="2" s="1"/>
  <c r="Y77" i="2"/>
  <c r="AA92" i="2"/>
  <c r="E53" i="2"/>
  <c r="J94" i="2"/>
  <c r="Z71" i="2"/>
  <c r="Z72" i="2" s="1"/>
  <c r="Z73" i="2" s="1"/>
  <c r="F66" i="2"/>
  <c r="J55" i="2"/>
  <c r="F64" i="2"/>
  <c r="AE37" i="2"/>
  <c r="AA47" i="2"/>
  <c r="AD16" i="2"/>
  <c r="AD17" i="2" s="1"/>
  <c r="AD18" i="2" s="1"/>
  <c r="AD19" i="2" s="1"/>
  <c r="AD20" i="2" s="1"/>
  <c r="AD21" i="2" s="1"/>
  <c r="AD22" i="2" s="1"/>
  <c r="AB35" i="2"/>
  <c r="D49" i="2"/>
  <c r="AC130" i="2"/>
  <c r="AD129" i="2"/>
  <c r="AD130" i="2" s="1"/>
  <c r="AD131" i="2" s="1"/>
  <c r="AD132" i="2" s="1"/>
  <c r="AD133" i="2" s="1"/>
  <c r="Y131" i="2"/>
  <c r="F61" i="2"/>
  <c r="K94" i="2"/>
  <c r="F68" i="2"/>
  <c r="AC37" i="2"/>
  <c r="AE65" i="2"/>
  <c r="AA75" i="2"/>
  <c r="AE47" i="2"/>
  <c r="Y130" i="2"/>
  <c r="A94" i="8"/>
  <c r="Y98" i="2"/>
  <c r="X98" i="2" s="1"/>
  <c r="AB4" i="2"/>
  <c r="AC131" i="2"/>
  <c r="AE57" i="2"/>
  <c r="AE4" i="2"/>
  <c r="F63" i="2"/>
  <c r="AB6" i="2"/>
  <c r="AC113" i="2"/>
  <c r="I55" i="2"/>
  <c r="D88" i="2"/>
  <c r="D92" i="2" s="1"/>
  <c r="C93" i="2" s="1"/>
  <c r="AC4" i="2"/>
  <c r="Y103" i="2"/>
  <c r="AC99" i="2"/>
  <c r="AB99" i="2" s="1"/>
  <c r="AB100" i="2" s="1"/>
  <c r="AB101" i="2" s="1"/>
  <c r="AB102" i="2" s="1"/>
  <c r="AD6" i="2"/>
  <c r="AC91" i="2"/>
  <c r="AB91" i="2" s="1"/>
  <c r="F67" i="2"/>
  <c r="F69" i="2"/>
  <c r="Y48" i="2"/>
  <c r="AE66" i="2"/>
  <c r="AE5" i="2"/>
  <c r="AA98" i="2"/>
  <c r="Z98" i="2" s="1"/>
  <c r="F60" i="2"/>
  <c r="AC103" i="2"/>
  <c r="Y99" i="2"/>
  <c r="X92" i="2"/>
  <c r="D51" i="2"/>
  <c r="AC38" i="2"/>
  <c r="D50" i="2"/>
  <c r="F65" i="2"/>
  <c r="AE48" i="2"/>
  <c r="AA130" i="2"/>
  <c r="AE56" i="2"/>
  <c r="AE39" i="2"/>
  <c r="AC5" i="2"/>
  <c r="Y56" i="2"/>
  <c r="Y57" i="2"/>
  <c r="AC56" i="2"/>
  <c r="AB5" i="2"/>
  <c r="Y23" i="2"/>
  <c r="Y26" i="2"/>
  <c r="Y28" i="2"/>
  <c r="AB3" i="2"/>
  <c r="R9" i="13" s="1"/>
  <c r="Y27" i="2"/>
  <c r="Y30" i="2"/>
  <c r="Y24" i="2"/>
  <c r="Y29" i="2"/>
  <c r="Y25" i="2"/>
  <c r="Y36" i="2"/>
  <c r="AA23" i="2"/>
  <c r="AA24" i="2"/>
  <c r="AA28" i="2"/>
  <c r="AC3" i="2"/>
  <c r="AA27" i="2"/>
  <c r="AA25" i="2"/>
  <c r="AA26" i="2"/>
  <c r="AA30" i="2"/>
  <c r="AA29" i="2"/>
  <c r="AA46" i="2"/>
  <c r="H3" i="2"/>
  <c r="AC23" i="2"/>
  <c r="AC25" i="2"/>
  <c r="AC30" i="2"/>
  <c r="AC28" i="2"/>
  <c r="AC26" i="2"/>
  <c r="AC24" i="2"/>
  <c r="AC29" i="2"/>
  <c r="AC27" i="2"/>
  <c r="Y39" i="2"/>
  <c r="AA48" i="2"/>
  <c r="C52" i="2"/>
  <c r="G7" i="2"/>
  <c r="AA39" i="2"/>
  <c r="AA117" i="2"/>
  <c r="AC54" i="2"/>
  <c r="Y94" i="2"/>
  <c r="Y37" i="2"/>
  <c r="AA38" i="2"/>
  <c r="D8" i="2"/>
  <c r="G3" i="2"/>
  <c r="C51" i="2"/>
  <c r="F73" i="2" s="1"/>
  <c r="G6" i="2"/>
  <c r="Y38" i="2"/>
  <c r="AA37" i="2"/>
  <c r="AC57" i="2"/>
  <c r="AE44" i="1"/>
  <c r="AE40" i="1"/>
  <c r="AE45" i="1"/>
  <c r="AE43" i="1"/>
  <c r="AE42" i="1"/>
  <c r="AE41" i="1"/>
  <c r="AE39" i="1"/>
  <c r="AE38" i="1"/>
  <c r="AE37" i="1"/>
  <c r="AE36" i="1"/>
  <c r="AE35" i="1"/>
  <c r="AE34" i="1"/>
  <c r="AE33" i="1"/>
  <c r="AE32" i="1"/>
  <c r="AE31" i="1"/>
  <c r="AE30" i="1"/>
  <c r="AE29" i="1"/>
  <c r="AE26" i="1"/>
  <c r="AE25" i="1"/>
  <c r="AE24" i="1"/>
  <c r="AE23" i="1"/>
  <c r="AE22" i="1"/>
  <c r="AJ22" i="1" s="1"/>
  <c r="Z129" i="2" l="1"/>
  <c r="Z130" i="2" s="1"/>
  <c r="Z131" i="2" s="1"/>
  <c r="Z132" i="2" s="1"/>
  <c r="Z133" i="2" s="1"/>
  <c r="X129" i="2"/>
  <c r="X130" i="2" s="1"/>
  <c r="X131" i="2" s="1"/>
  <c r="X132" i="2" s="1"/>
  <c r="X133" i="2" s="1"/>
  <c r="AB12" i="2" s="1"/>
  <c r="R34" i="13" s="1"/>
  <c r="A98" i="8"/>
  <c r="AC62" i="13" s="1"/>
  <c r="AD62" i="13" s="1"/>
  <c r="Y134" i="2"/>
  <c r="X93" i="2"/>
  <c r="AB9" i="2" s="1"/>
  <c r="F72" i="2"/>
  <c r="F71" i="2"/>
  <c r="Z92" i="2"/>
  <c r="Z93" i="2" s="1"/>
  <c r="Z113" i="2"/>
  <c r="AA118" i="2"/>
  <c r="X71" i="2"/>
  <c r="X72" i="2" s="1"/>
  <c r="X73" i="2" s="1"/>
  <c r="X74" i="2" s="1"/>
  <c r="AE29" i="2"/>
  <c r="AC134" i="2"/>
  <c r="Y95" i="2"/>
  <c r="AE27" i="2"/>
  <c r="AB71" i="2"/>
  <c r="AB72" i="2" s="1"/>
  <c r="AB73" i="2" s="1"/>
  <c r="AB74" i="2" s="1"/>
  <c r="AB75" i="2" s="1"/>
  <c r="AB76" i="2" s="1"/>
  <c r="AB77" i="2" s="1"/>
  <c r="AB78" i="2" s="1"/>
  <c r="AB79" i="2" s="1"/>
  <c r="AC135" i="2"/>
  <c r="AB130" i="2"/>
  <c r="AB92" i="2"/>
  <c r="AB93" i="2" s="1"/>
  <c r="AC94" i="2" s="1"/>
  <c r="Y117" i="2"/>
  <c r="AB112" i="2"/>
  <c r="AB113" i="2" s="1"/>
  <c r="AB114" i="2" s="1"/>
  <c r="AC120" i="2" s="1"/>
  <c r="AE26" i="2"/>
  <c r="AE30" i="2"/>
  <c r="AE3" i="2"/>
  <c r="R12" i="13" s="1"/>
  <c r="AE23" i="2"/>
  <c r="AE28" i="2"/>
  <c r="AE25" i="2"/>
  <c r="AC39" i="2"/>
  <c r="AC36" i="2"/>
  <c r="X113" i="2"/>
  <c r="X114" i="2" s="1"/>
  <c r="X115" i="2" s="1"/>
  <c r="X116" i="2" s="1"/>
  <c r="Y118" i="2"/>
  <c r="C92" i="2"/>
  <c r="AD4" i="2"/>
  <c r="R11" i="13" s="1"/>
  <c r="AE24" i="2"/>
  <c r="A95" i="8"/>
  <c r="AB103" i="2"/>
  <c r="AD10" i="2" s="1"/>
  <c r="F80" i="2"/>
  <c r="F81" i="2"/>
  <c r="F79" i="2"/>
  <c r="F84" i="2"/>
  <c r="F82" i="2"/>
  <c r="AE12" i="2"/>
  <c r="R37" i="13" s="1"/>
  <c r="AC106" i="2"/>
  <c r="D53" i="2"/>
  <c r="Z99" i="2"/>
  <c r="Z100" i="2" s="1"/>
  <c r="Z101" i="2" s="1"/>
  <c r="Z102" i="2" s="1"/>
  <c r="Z103" i="2" s="1"/>
  <c r="AA109" i="2" s="1"/>
  <c r="F76" i="2"/>
  <c r="F77" i="2"/>
  <c r="F74" i="2"/>
  <c r="F78" i="2"/>
  <c r="AE136" i="2"/>
  <c r="Z74" i="2"/>
  <c r="Z75" i="2" s="1"/>
  <c r="Z76" i="2" s="1"/>
  <c r="Z77" i="2" s="1"/>
  <c r="Z78" i="2" s="1"/>
  <c r="Z79" i="2" s="1"/>
  <c r="C55" i="2"/>
  <c r="Q4" i="2" s="1"/>
  <c r="F75" i="2"/>
  <c r="F83" i="2"/>
  <c r="AA80" i="2"/>
  <c r="AE139" i="2"/>
  <c r="AE134" i="2"/>
  <c r="AC104" i="2"/>
  <c r="AC117" i="2"/>
  <c r="AA83" i="2"/>
  <c r="AA104" i="2"/>
  <c r="C9" i="2"/>
  <c r="Q3" i="2" s="1"/>
  <c r="C8" i="2"/>
  <c r="R2" i="2"/>
  <c r="R3" i="2"/>
  <c r="C10" i="2"/>
  <c r="Q2" i="2" s="1"/>
  <c r="AE137" i="2"/>
  <c r="I3" i="2"/>
  <c r="H4" i="2"/>
  <c r="AC107" i="2"/>
  <c r="AA134" i="2"/>
  <c r="AA82" i="2"/>
  <c r="AE135" i="2"/>
  <c r="AE138" i="2"/>
  <c r="I49" i="2"/>
  <c r="H50" i="2"/>
  <c r="AC108" i="2"/>
  <c r="AC105" i="2"/>
  <c r="AA81" i="2"/>
  <c r="AC80" i="2"/>
  <c r="AJ33" i="1"/>
  <c r="AJ25" i="1"/>
  <c r="AJ35" i="1"/>
  <c r="AJ37" i="1"/>
  <c r="AJ45" i="1"/>
  <c r="AJ39" i="1"/>
  <c r="AJ23" i="1"/>
  <c r="AJ41" i="1"/>
  <c r="AJ27" i="1"/>
  <c r="AJ32" i="1"/>
  <c r="AJ34" i="1"/>
  <c r="AJ36" i="1"/>
  <c r="AJ26" i="1"/>
  <c r="AJ31" i="1"/>
  <c r="AJ38" i="1"/>
  <c r="AE10" i="1"/>
  <c r="AJ43" i="1"/>
  <c r="AJ40" i="1"/>
  <c r="AJ28" i="1"/>
  <c r="AJ44" i="1"/>
  <c r="AJ30" i="1"/>
  <c r="AJ29" i="1"/>
  <c r="AJ42" i="1"/>
  <c r="AJ24" i="1"/>
  <c r="Y135" i="2" l="1"/>
  <c r="AA135" i="2"/>
  <c r="Y96" i="2"/>
  <c r="AC83" i="2"/>
  <c r="AC89" i="2"/>
  <c r="AD8" i="2"/>
  <c r="R24" i="13" s="1"/>
  <c r="AC86" i="2"/>
  <c r="AC82" i="2"/>
  <c r="AC81" i="2"/>
  <c r="AA95" i="2"/>
  <c r="Y82" i="2"/>
  <c r="AA106" i="2"/>
  <c r="AC87" i="2"/>
  <c r="AC118" i="2"/>
  <c r="AC85" i="2"/>
  <c r="X75" i="2"/>
  <c r="X76" i="2" s="1"/>
  <c r="X77" i="2" s="1"/>
  <c r="X78" i="2" s="1"/>
  <c r="X79" i="2" s="1"/>
  <c r="Y81" i="2"/>
  <c r="Y83" i="2"/>
  <c r="AA96" i="2"/>
  <c r="AC9" i="2"/>
  <c r="Z114" i="2"/>
  <c r="AA119" i="2"/>
  <c r="AA84" i="2"/>
  <c r="AC84" i="2"/>
  <c r="AA139" i="2"/>
  <c r="AC88" i="2"/>
  <c r="AA137" i="2"/>
  <c r="A99" i="8"/>
  <c r="Y137" i="2"/>
  <c r="AB131" i="2"/>
  <c r="AB132" i="2" s="1"/>
  <c r="AB133" i="2" s="1"/>
  <c r="AC138" i="2" s="1"/>
  <c r="Y136" i="2"/>
  <c r="AC95" i="2"/>
  <c r="AC109" i="2"/>
  <c r="AD9" i="2"/>
  <c r="AC96" i="2"/>
  <c r="AC12" i="2"/>
  <c r="R35" i="13" s="1"/>
  <c r="AA138" i="2"/>
  <c r="AA136" i="2"/>
  <c r="Y138" i="2"/>
  <c r="AC119" i="2"/>
  <c r="Y84" i="2"/>
  <c r="I50" i="2"/>
  <c r="AB115" i="2"/>
  <c r="AB116" i="2" s="1"/>
  <c r="AA107" i="2"/>
  <c r="AA89" i="2"/>
  <c r="AA86" i="2"/>
  <c r="AA108" i="2"/>
  <c r="Y139" i="2"/>
  <c r="Y119" i="2"/>
  <c r="AB11" i="2"/>
  <c r="Y122" i="2"/>
  <c r="Y121" i="2"/>
  <c r="Y120" i="2"/>
  <c r="AA87" i="2"/>
  <c r="AC10" i="2"/>
  <c r="AC8" i="2"/>
  <c r="R23" i="13" s="1"/>
  <c r="AA105" i="2"/>
  <c r="I4" i="2"/>
  <c r="C54" i="2"/>
  <c r="Q5" i="2" s="1"/>
  <c r="S5" i="2" s="1"/>
  <c r="R5" i="2"/>
  <c r="C53" i="2"/>
  <c r="R4" i="2"/>
  <c r="AA88" i="2"/>
  <c r="AA85" i="2"/>
  <c r="H51" i="2"/>
  <c r="H52" i="2" s="1"/>
  <c r="H5" i="2"/>
  <c r="H6" i="2" s="1"/>
  <c r="H7" i="2" s="1"/>
  <c r="J49" i="2"/>
  <c r="J3" i="2"/>
  <c r="AE17" i="1"/>
  <c r="R7" i="1" s="1"/>
  <c r="H54" i="2"/>
  <c r="H9" i="2"/>
  <c r="Y86" i="2" l="1"/>
  <c r="Y88" i="2"/>
  <c r="AC136" i="2"/>
  <c r="AC122" i="2"/>
  <c r="AB8" i="2"/>
  <c r="R22" i="13" s="1"/>
  <c r="S2" i="2"/>
  <c r="Y87" i="2"/>
  <c r="Y89" i="2"/>
  <c r="Y85" i="2"/>
  <c r="Z115" i="2"/>
  <c r="AA120" i="2"/>
  <c r="AD11" i="2"/>
  <c r="AC121" i="2"/>
  <c r="AC137" i="2"/>
  <c r="R1" i="2"/>
  <c r="I1" i="15" s="1"/>
  <c r="S3" i="2"/>
  <c r="S4" i="2"/>
  <c r="AC139" i="2"/>
  <c r="I51" i="2"/>
  <c r="AD12" i="2"/>
  <c r="R36" i="13" s="1"/>
  <c r="H53" i="2"/>
  <c r="H74" i="2"/>
  <c r="H77" i="2"/>
  <c r="H80" i="2"/>
  <c r="H72" i="2"/>
  <c r="H70" i="2"/>
  <c r="H67" i="2"/>
  <c r="H64" i="2"/>
  <c r="H61" i="2"/>
  <c r="H60" i="2"/>
  <c r="H79" i="2"/>
  <c r="H69" i="2"/>
  <c r="H65" i="2"/>
  <c r="H82" i="2"/>
  <c r="H66" i="2"/>
  <c r="H83" i="2"/>
  <c r="H68" i="2"/>
  <c r="H84" i="2"/>
  <c r="H81" i="2"/>
  <c r="H78" i="2"/>
  <c r="H62" i="2"/>
  <c r="H63" i="2"/>
  <c r="H73" i="2"/>
  <c r="H71" i="2"/>
  <c r="H75" i="2"/>
  <c r="H76" i="2"/>
  <c r="H8" i="2"/>
  <c r="H35" i="2" s="1"/>
  <c r="K3" i="2"/>
  <c r="J4" i="2"/>
  <c r="J50" i="2"/>
  <c r="I1" i="12"/>
  <c r="I5" i="2"/>
  <c r="I6" i="2" s="1"/>
  <c r="I7" i="2" s="1"/>
  <c r="Q6" i="1"/>
  <c r="Q7" i="1"/>
  <c r="R6" i="1"/>
  <c r="I9" i="2"/>
  <c r="C3" i="12" l="1"/>
  <c r="I10" i="12"/>
  <c r="R1" i="13"/>
  <c r="I1" i="14"/>
  <c r="H34" i="2"/>
  <c r="H27" i="2"/>
  <c r="H31" i="2"/>
  <c r="H23" i="2"/>
  <c r="H15" i="2"/>
  <c r="L15" i="2" s="1"/>
  <c r="H25" i="2"/>
  <c r="H37" i="2"/>
  <c r="H36" i="2"/>
  <c r="H32" i="2"/>
  <c r="H29" i="2"/>
  <c r="H16" i="2"/>
  <c r="H22" i="2"/>
  <c r="H26" i="2"/>
  <c r="H21" i="2"/>
  <c r="H20" i="2"/>
  <c r="H24" i="2"/>
  <c r="H19" i="2"/>
  <c r="H28" i="2"/>
  <c r="H17" i="2"/>
  <c r="H18" i="2"/>
  <c r="H38" i="2"/>
  <c r="H30" i="2"/>
  <c r="H33" i="2"/>
  <c r="Z116" i="2"/>
  <c r="AC11" i="2" s="1"/>
  <c r="AA121" i="2"/>
  <c r="J51" i="2"/>
  <c r="S13" i="2"/>
  <c r="C5" i="12" s="1"/>
  <c r="I52" i="2"/>
  <c r="I8" i="2"/>
  <c r="J5" i="2"/>
  <c r="L79" i="2"/>
  <c r="L68" i="2"/>
  <c r="L78" i="2"/>
  <c r="L64" i="2"/>
  <c r="L77" i="2"/>
  <c r="L66" i="2"/>
  <c r="L60" i="2"/>
  <c r="L76" i="2"/>
  <c r="L65" i="2"/>
  <c r="L75" i="2"/>
  <c r="L61" i="2"/>
  <c r="L74" i="2"/>
  <c r="L63" i="2"/>
  <c r="L83" i="2"/>
  <c r="L73" i="2"/>
  <c r="L62" i="2"/>
  <c r="L71" i="2"/>
  <c r="L84" i="2"/>
  <c r="L72" i="2"/>
  <c r="H56" i="2"/>
  <c r="L81" i="2"/>
  <c r="L70" i="2"/>
  <c r="L82" i="2"/>
  <c r="L67" i="2"/>
  <c r="L80" i="2"/>
  <c r="L69" i="2"/>
  <c r="K4" i="2"/>
  <c r="I54" i="2"/>
  <c r="L21" i="2" l="1"/>
  <c r="L22" i="2"/>
  <c r="L27" i="2"/>
  <c r="L30" i="2"/>
  <c r="L32" i="2"/>
  <c r="L20" i="2"/>
  <c r="L25" i="2"/>
  <c r="L36" i="2"/>
  <c r="L31" i="2"/>
  <c r="L26" i="2"/>
  <c r="L33" i="2"/>
  <c r="L18" i="2"/>
  <c r="L17" i="2"/>
  <c r="L16" i="2"/>
  <c r="L35" i="2"/>
  <c r="L24" i="2"/>
  <c r="H11" i="2"/>
  <c r="L38" i="2"/>
  <c r="L29" i="2"/>
  <c r="L28" i="2"/>
  <c r="L19" i="2"/>
  <c r="L34" i="2"/>
  <c r="L23" i="2"/>
  <c r="L37" i="2"/>
  <c r="AA122" i="2"/>
  <c r="H57" i="2"/>
  <c r="M76" i="8" s="1"/>
  <c r="N76" i="8" s="1"/>
  <c r="O76" i="8" s="1"/>
  <c r="I53" i="2"/>
  <c r="J52" i="2"/>
  <c r="J6" i="2"/>
  <c r="K5" i="2"/>
  <c r="J54" i="2"/>
  <c r="H12" i="2" l="1"/>
  <c r="I22" i="2" s="1"/>
  <c r="J53" i="2"/>
  <c r="K6" i="2"/>
  <c r="J7" i="2"/>
  <c r="J9" i="2"/>
  <c r="I34" i="2" l="1"/>
  <c r="I32" i="2"/>
  <c r="I15" i="2"/>
  <c r="M15" i="2" s="1"/>
  <c r="I27" i="2"/>
  <c r="I35" i="2"/>
  <c r="I19" i="2"/>
  <c r="I16" i="2"/>
  <c r="I17" i="2"/>
  <c r="I21" i="2"/>
  <c r="I37" i="2"/>
  <c r="I26" i="2"/>
  <c r="I30" i="2"/>
  <c r="I24" i="2"/>
  <c r="I33" i="2"/>
  <c r="I20" i="2"/>
  <c r="I29" i="2"/>
  <c r="I31" i="2"/>
  <c r="I36" i="2"/>
  <c r="I23" i="2"/>
  <c r="I38" i="2"/>
  <c r="I18" i="2"/>
  <c r="I28" i="2"/>
  <c r="I25" i="2"/>
  <c r="J8" i="2"/>
  <c r="K7" i="2"/>
  <c r="K9" i="2"/>
  <c r="M25" i="2" l="1"/>
  <c r="M18" i="2"/>
  <c r="M23" i="2"/>
  <c r="I11" i="2"/>
  <c r="M27" i="2"/>
  <c r="M19" i="2"/>
  <c r="M33" i="2"/>
  <c r="M38" i="2"/>
  <c r="M35" i="2"/>
  <c r="M22" i="2"/>
  <c r="M31" i="2"/>
  <c r="M17" i="2"/>
  <c r="M20" i="2"/>
  <c r="M21" i="2"/>
  <c r="M24" i="2"/>
  <c r="M16" i="2"/>
  <c r="M26" i="2"/>
  <c r="M32" i="2"/>
  <c r="M34" i="2"/>
  <c r="M30" i="2"/>
  <c r="M29" i="2"/>
  <c r="M28" i="2"/>
  <c r="M36" i="2"/>
  <c r="M37" i="2"/>
  <c r="K8" i="2"/>
  <c r="I12" i="2" l="1"/>
  <c r="J15" i="2" s="1"/>
  <c r="N15" i="2" s="1"/>
  <c r="J22" i="2" l="1"/>
  <c r="J33" i="2"/>
  <c r="J28" i="2"/>
  <c r="J38" i="2"/>
  <c r="J36" i="2"/>
  <c r="J16" i="2"/>
  <c r="N16" i="2" s="1"/>
  <c r="J24" i="2"/>
  <c r="J20" i="2"/>
  <c r="J26" i="2"/>
  <c r="J34" i="2"/>
  <c r="J37" i="2"/>
  <c r="J17" i="2"/>
  <c r="J29" i="2"/>
  <c r="J23" i="2"/>
  <c r="J25" i="2"/>
  <c r="J31" i="2"/>
  <c r="J30" i="2"/>
  <c r="J18" i="2"/>
  <c r="J27" i="2"/>
  <c r="J21" i="2"/>
  <c r="J19" i="2"/>
  <c r="J35" i="2"/>
  <c r="J32" i="2"/>
  <c r="N17" i="2" l="1"/>
  <c r="N18" i="2"/>
  <c r="N28" i="2"/>
  <c r="N31" i="2"/>
  <c r="N29" i="2"/>
  <c r="N20" i="2"/>
  <c r="N36" i="2"/>
  <c r="N21" i="2"/>
  <c r="N30" i="2"/>
  <c r="N32" i="2"/>
  <c r="N37" i="2"/>
  <c r="J11" i="2"/>
  <c r="N23" i="2"/>
  <c r="N35" i="2"/>
  <c r="N27" i="2"/>
  <c r="N19" i="2"/>
  <c r="N33" i="2"/>
  <c r="N38" i="2"/>
  <c r="N26" i="2"/>
  <c r="N34" i="2"/>
  <c r="N24" i="2"/>
  <c r="N25" i="2"/>
  <c r="N22" i="2"/>
  <c r="J12" i="2" l="1"/>
  <c r="K23" i="2" s="1"/>
  <c r="I75" i="2"/>
  <c r="I84" i="2"/>
  <c r="I68" i="2"/>
  <c r="I81" i="2"/>
  <c r="I65" i="2"/>
  <c r="I70" i="2"/>
  <c r="I71" i="2"/>
  <c r="I80" i="2"/>
  <c r="I64" i="2"/>
  <c r="I77" i="2"/>
  <c r="I61" i="2"/>
  <c r="I66" i="2"/>
  <c r="I83" i="2"/>
  <c r="I67" i="2"/>
  <c r="I76" i="2"/>
  <c r="I60" i="2"/>
  <c r="I73" i="2"/>
  <c r="I78" i="2"/>
  <c r="I62" i="2"/>
  <c r="I79" i="2"/>
  <c r="I63" i="2"/>
  <c r="I72" i="2"/>
  <c r="I82" i="2"/>
  <c r="I69" i="2"/>
  <c r="I74" i="2"/>
  <c r="K22" i="2" l="1"/>
  <c r="K15" i="2"/>
  <c r="O15" i="2" s="1"/>
  <c r="K16" i="2"/>
  <c r="K36" i="2"/>
  <c r="K19" i="2"/>
  <c r="K21" i="2"/>
  <c r="K27" i="2"/>
  <c r="K18" i="2"/>
  <c r="K29" i="2"/>
  <c r="K26" i="2"/>
  <c r="K35" i="2"/>
  <c r="K24" i="2"/>
  <c r="K20" i="2"/>
  <c r="K32" i="2"/>
  <c r="K37" i="2"/>
  <c r="K25" i="2"/>
  <c r="K38" i="2"/>
  <c r="K30" i="2"/>
  <c r="K28" i="2"/>
  <c r="K33" i="2"/>
  <c r="K17" i="2"/>
  <c r="K34" i="2"/>
  <c r="K31" i="2"/>
  <c r="M84" i="2"/>
  <c r="M80" i="2"/>
  <c r="M76" i="2"/>
  <c r="M72" i="2"/>
  <c r="M68" i="2"/>
  <c r="M64" i="2"/>
  <c r="M60" i="2"/>
  <c r="M82" i="2"/>
  <c r="M74" i="2"/>
  <c r="M70" i="2"/>
  <c r="M62" i="2"/>
  <c r="M81" i="2"/>
  <c r="M73" i="2"/>
  <c r="M61" i="2"/>
  <c r="M83" i="2"/>
  <c r="M79" i="2"/>
  <c r="M75" i="2"/>
  <c r="M71" i="2"/>
  <c r="M67" i="2"/>
  <c r="M63" i="2"/>
  <c r="M78" i="2"/>
  <c r="M66" i="2"/>
  <c r="I56" i="2"/>
  <c r="M77" i="2"/>
  <c r="M69" i="2"/>
  <c r="M65" i="2"/>
  <c r="O16" i="2" l="1"/>
  <c r="O23" i="2"/>
  <c r="O24" i="2"/>
  <c r="O30" i="2"/>
  <c r="O18" i="2"/>
  <c r="O21" i="2"/>
  <c r="O26" i="2"/>
  <c r="O32" i="2"/>
  <c r="O22" i="2"/>
  <c r="O17" i="2"/>
  <c r="O19" i="2"/>
  <c r="O20" i="2"/>
  <c r="O27" i="2"/>
  <c r="O25" i="2"/>
  <c r="O28" i="2"/>
  <c r="O38" i="2"/>
  <c r="O33" i="2"/>
  <c r="O36" i="2"/>
  <c r="O37" i="2"/>
  <c r="O34" i="2"/>
  <c r="K11" i="2"/>
  <c r="O31" i="2"/>
  <c r="O29" i="2"/>
  <c r="O35" i="2"/>
  <c r="X99" i="2"/>
  <c r="I57" i="2"/>
  <c r="K12" i="2" l="1"/>
  <c r="D141" i="2" s="1"/>
  <c r="X100" i="2"/>
  <c r="X101" i="2" s="1"/>
  <c r="X102" i="2" s="1"/>
  <c r="X103" i="2" s="1"/>
  <c r="Y104" i="2"/>
  <c r="Y105" i="2"/>
  <c r="M77" i="8"/>
  <c r="J66" i="2"/>
  <c r="J71" i="2"/>
  <c r="J73" i="2"/>
  <c r="J72" i="2"/>
  <c r="J67" i="2"/>
  <c r="J62" i="2"/>
  <c r="J60" i="2"/>
  <c r="J70" i="2"/>
  <c r="J80" i="2"/>
  <c r="J64" i="2"/>
  <c r="J75" i="2"/>
  <c r="J76" i="2"/>
  <c r="J77" i="2"/>
  <c r="J78" i="2"/>
  <c r="J65" i="2"/>
  <c r="J74" i="2"/>
  <c r="J79" i="2"/>
  <c r="J61" i="2"/>
  <c r="J82" i="2"/>
  <c r="J83" i="2"/>
  <c r="J84" i="2"/>
  <c r="J81" i="2"/>
  <c r="J68" i="2"/>
  <c r="J69" i="2"/>
  <c r="J63" i="2"/>
  <c r="B115" i="2" l="1"/>
  <c r="M68" i="8" s="1"/>
  <c r="N68" i="8" s="1"/>
  <c r="O68" i="8" s="1"/>
  <c r="M64" i="8"/>
  <c r="N64" i="8" s="1"/>
  <c r="O64" i="8" s="1"/>
  <c r="E141" i="2"/>
  <c r="B141" i="2"/>
  <c r="M52" i="8" s="1"/>
  <c r="D142" i="2"/>
  <c r="C88" i="2"/>
  <c r="F101" i="2" s="1"/>
  <c r="C141" i="2"/>
  <c r="M58" i="8" s="1"/>
  <c r="Y109" i="2"/>
  <c r="Y108" i="2"/>
  <c r="Y106" i="2"/>
  <c r="Y107" i="2"/>
  <c r="AB10" i="2"/>
  <c r="N77" i="8"/>
  <c r="O77" i="8" s="1"/>
  <c r="J115" i="2"/>
  <c r="P133" i="2"/>
  <c r="P129" i="2"/>
  <c r="P125" i="2"/>
  <c r="P121" i="2"/>
  <c r="P130" i="2"/>
  <c r="P126" i="2"/>
  <c r="P122" i="2"/>
  <c r="P119" i="2"/>
  <c r="P128" i="2"/>
  <c r="P131" i="2"/>
  <c r="P127" i="2"/>
  <c r="P123" i="2"/>
  <c r="P132" i="2"/>
  <c r="P124" i="2"/>
  <c r="P120" i="2"/>
  <c r="N60" i="2"/>
  <c r="N62" i="2"/>
  <c r="J56" i="2"/>
  <c r="N75" i="2"/>
  <c r="N84" i="2"/>
  <c r="N61" i="2"/>
  <c r="N81" i="2"/>
  <c r="N73" i="2"/>
  <c r="N77" i="2"/>
  <c r="N79" i="2"/>
  <c r="N66" i="2"/>
  <c r="N78" i="2"/>
  <c r="N72" i="2"/>
  <c r="N63" i="2"/>
  <c r="N76" i="2"/>
  <c r="N70" i="2"/>
  <c r="N67" i="2"/>
  <c r="N83" i="2"/>
  <c r="N64" i="2"/>
  <c r="N80" i="2"/>
  <c r="N69" i="2"/>
  <c r="N82" i="2"/>
  <c r="N71" i="2"/>
  <c r="N65" i="2"/>
  <c r="N74" i="2"/>
  <c r="N68" i="2"/>
  <c r="M70" i="8" l="1"/>
  <c r="N70" i="8" s="1"/>
  <c r="O70" i="8" s="1"/>
  <c r="C142" i="2"/>
  <c r="C143" i="2" s="1"/>
  <c r="M59" i="8" s="1"/>
  <c r="N59" i="8" s="1"/>
  <c r="O59" i="8" s="1"/>
  <c r="B142" i="2"/>
  <c r="B143" i="2" s="1"/>
  <c r="M53" i="8" s="1"/>
  <c r="N53" i="8" s="1"/>
  <c r="O53" i="8" s="1"/>
  <c r="B116" i="2"/>
  <c r="M74" i="8" s="1"/>
  <c r="N74" i="8" s="1"/>
  <c r="O74" i="8" s="1"/>
  <c r="E142" i="2"/>
  <c r="H93" i="2"/>
  <c r="N58" i="8"/>
  <c r="O58" i="8" s="1"/>
  <c r="N52" i="8"/>
  <c r="O52" i="8" s="1"/>
  <c r="B113" i="2"/>
  <c r="F99" i="2"/>
  <c r="H99" i="2" s="1"/>
  <c r="C94" i="2"/>
  <c r="F100" i="2"/>
  <c r="K100" i="2" s="1"/>
  <c r="F102" i="2"/>
  <c r="J102" i="2" s="1"/>
  <c r="J93" i="2"/>
  <c r="I93" i="2"/>
  <c r="F104" i="2"/>
  <c r="H104" i="2" s="1"/>
  <c r="F103" i="2"/>
  <c r="J103" i="2" s="1"/>
  <c r="K93" i="2"/>
  <c r="B114" i="2"/>
  <c r="M62" i="8" s="1"/>
  <c r="N62" i="8" s="1"/>
  <c r="O62" i="8" s="1"/>
  <c r="J101" i="2"/>
  <c r="I101" i="2"/>
  <c r="K101" i="2"/>
  <c r="H101" i="2"/>
  <c r="J116" i="2"/>
  <c r="J57" i="2"/>
  <c r="D143" i="2" l="1"/>
  <c r="M65" i="8" s="1"/>
  <c r="N65" i="8" s="1"/>
  <c r="O65" i="8" s="1"/>
  <c r="M56" i="8"/>
  <c r="N56" i="8" s="1"/>
  <c r="O56" i="8" s="1"/>
  <c r="M57" i="8"/>
  <c r="K99" i="2"/>
  <c r="O100" i="2" s="1"/>
  <c r="K102" i="2"/>
  <c r="H100" i="2"/>
  <c r="L100" i="2" s="1"/>
  <c r="I100" i="2"/>
  <c r="J100" i="2"/>
  <c r="I99" i="2"/>
  <c r="J99" i="2"/>
  <c r="I104" i="2"/>
  <c r="H103" i="2"/>
  <c r="K103" i="2"/>
  <c r="H102" i="2"/>
  <c r="J104" i="2"/>
  <c r="K104" i="2"/>
  <c r="I102" i="2"/>
  <c r="I103" i="2"/>
  <c r="L99" i="2"/>
  <c r="M75" i="8"/>
  <c r="M63" i="8"/>
  <c r="M69" i="8"/>
  <c r="M78" i="8"/>
  <c r="E113" i="2"/>
  <c r="K120" i="2"/>
  <c r="K121" i="2"/>
  <c r="K132" i="2"/>
  <c r="K119" i="2"/>
  <c r="K128" i="2"/>
  <c r="K130" i="2"/>
  <c r="K131" i="2"/>
  <c r="K125" i="2"/>
  <c r="K129" i="2"/>
  <c r="K124" i="2"/>
  <c r="K127" i="2"/>
  <c r="K122" i="2"/>
  <c r="K123" i="2"/>
  <c r="K133" i="2"/>
  <c r="K126" i="2"/>
  <c r="E143" i="2" l="1"/>
  <c r="M71" i="8" s="1"/>
  <c r="N71" i="8" s="1"/>
  <c r="O71" i="8" s="1"/>
  <c r="L102" i="2"/>
  <c r="O99" i="2"/>
  <c r="O101" i="2"/>
  <c r="O103" i="2"/>
  <c r="O102" i="2"/>
  <c r="L101" i="2"/>
  <c r="N102" i="2"/>
  <c r="M102" i="2"/>
  <c r="M100" i="2"/>
  <c r="K95" i="2"/>
  <c r="M99" i="2"/>
  <c r="M101" i="2"/>
  <c r="M103" i="2"/>
  <c r="N101" i="2"/>
  <c r="N100" i="2"/>
  <c r="N103" i="2"/>
  <c r="J95" i="2"/>
  <c r="N99" i="2"/>
  <c r="L103" i="2"/>
  <c r="N104" i="2"/>
  <c r="O104" i="2"/>
  <c r="I95" i="2"/>
  <c r="M104" i="2"/>
  <c r="H95" i="2"/>
  <c r="L104" i="2"/>
  <c r="N57" i="8"/>
  <c r="O57" i="8" s="1"/>
  <c r="N63" i="8"/>
  <c r="O63" i="8" s="1"/>
  <c r="N75" i="8"/>
  <c r="O75" i="8" s="1"/>
  <c r="N69" i="8"/>
  <c r="O69" i="8" s="1"/>
  <c r="N78" i="8"/>
  <c r="K115" i="2"/>
  <c r="Q130" i="2"/>
  <c r="Q126" i="2"/>
  <c r="Q122" i="2"/>
  <c r="Q125" i="2"/>
  <c r="Q131" i="2"/>
  <c r="Q127" i="2"/>
  <c r="Q123" i="2"/>
  <c r="Q119" i="2"/>
  <c r="Q120" i="2"/>
  <c r="Q121" i="2"/>
  <c r="Q132" i="2"/>
  <c r="Q128" i="2"/>
  <c r="Q124" i="2"/>
  <c r="Q133" i="2"/>
  <c r="Q129" i="2"/>
  <c r="H96" i="2" l="1"/>
  <c r="M79" i="8" s="1"/>
  <c r="N79" i="8" s="1"/>
  <c r="O79" i="8" s="1"/>
  <c r="K96" i="2"/>
  <c r="M82" i="8" s="1"/>
  <c r="N82" i="8" s="1"/>
  <c r="O82" i="8" s="1"/>
  <c r="I96" i="2"/>
  <c r="M80" i="8" s="1"/>
  <c r="N80" i="8" s="1"/>
  <c r="O80" i="8" s="1"/>
  <c r="J96" i="2"/>
  <c r="M81" i="8" s="1"/>
  <c r="N81" i="8" s="1"/>
  <c r="O81" i="8" s="1"/>
  <c r="O78" i="8"/>
  <c r="K116" i="2"/>
  <c r="E114" i="2" l="1"/>
  <c r="L121" i="2"/>
  <c r="L120" i="2"/>
  <c r="L129" i="2"/>
  <c r="L133" i="2"/>
  <c r="L130" i="2"/>
  <c r="L123" i="2"/>
  <c r="L122" i="2"/>
  <c r="L125" i="2"/>
  <c r="L128" i="2"/>
  <c r="L127" i="2"/>
  <c r="L126" i="2"/>
  <c r="L119" i="2"/>
  <c r="L131" i="2"/>
  <c r="L124" i="2"/>
  <c r="L132" i="2"/>
  <c r="R119" i="2" l="1"/>
  <c r="R124" i="2"/>
  <c r="R129" i="2"/>
  <c r="R122" i="2"/>
  <c r="R125" i="2"/>
  <c r="R131" i="2"/>
  <c r="R120" i="2"/>
  <c r="R130" i="2"/>
  <c r="L115" i="2"/>
  <c r="R127" i="2"/>
  <c r="R132" i="2"/>
  <c r="R126" i="2"/>
  <c r="R121" i="2"/>
  <c r="R128" i="2"/>
  <c r="R123" i="2"/>
  <c r="R133" i="2"/>
  <c r="L116" i="2" l="1"/>
  <c r="E115" i="2" s="1"/>
  <c r="M121" i="2" l="1"/>
  <c r="M132" i="2"/>
  <c r="M120" i="2"/>
  <c r="M129" i="2"/>
  <c r="M133" i="2"/>
  <c r="M122" i="2"/>
  <c r="M126" i="2"/>
  <c r="M130" i="2"/>
  <c r="M125" i="2"/>
  <c r="M124" i="2"/>
  <c r="M128" i="2"/>
  <c r="M131" i="2"/>
  <c r="M127" i="2"/>
  <c r="M119" i="2"/>
  <c r="M123" i="2"/>
  <c r="M115" i="2" l="1"/>
  <c r="S124" i="2"/>
  <c r="S129" i="2"/>
  <c r="S130" i="2"/>
  <c r="S127" i="2"/>
  <c r="S120" i="2"/>
  <c r="S126" i="2"/>
  <c r="S125" i="2"/>
  <c r="S132" i="2"/>
  <c r="S123" i="2"/>
  <c r="S121" i="2"/>
  <c r="S122" i="2"/>
  <c r="S131" i="2"/>
  <c r="S128" i="2"/>
  <c r="S133" i="2"/>
  <c r="S119" i="2"/>
  <c r="M61" i="8" l="1"/>
  <c r="M67" i="8"/>
  <c r="M73" i="8"/>
  <c r="M55" i="8"/>
  <c r="M116" i="2"/>
  <c r="E116" i="2" s="1"/>
  <c r="N61" i="8" l="1"/>
  <c r="O61" i="8" s="1"/>
  <c r="N73" i="8"/>
  <c r="O73" i="8" s="1"/>
  <c r="N67" i="8"/>
  <c r="O67" i="8" s="1"/>
  <c r="N55" i="8"/>
  <c r="O55" i="8" s="1"/>
  <c r="M86" i="8"/>
  <c r="C116" i="2"/>
  <c r="C115" i="2"/>
  <c r="C113" i="2"/>
  <c r="C114" i="2"/>
  <c r="N86" i="8" l="1"/>
  <c r="L85" i="8"/>
  <c r="L89" i="8" l="1"/>
  <c r="L86" i="8"/>
  <c r="U26" i="12" l="1"/>
  <c r="L90" i="8"/>
  <c r="R85" i="8"/>
  <c r="S85" i="8" s="1"/>
  <c r="R84" i="8"/>
  <c r="S84" i="8" s="1"/>
  <c r="R80" i="8"/>
  <c r="S80" i="8" s="1"/>
  <c r="V80" i="8" s="1"/>
  <c r="D17" i="12" s="1"/>
  <c r="R76" i="8"/>
  <c r="R72" i="8"/>
  <c r="S72" i="8" s="1"/>
  <c r="V72" i="8" s="1"/>
  <c r="R68" i="8"/>
  <c r="R64" i="8"/>
  <c r="R60" i="8"/>
  <c r="S60" i="8" s="1"/>
  <c r="V60" i="8" s="1"/>
  <c r="R53" i="8"/>
  <c r="S53" i="8" s="1"/>
  <c r="V53" i="8" s="1"/>
  <c r="R56" i="8"/>
  <c r="R83" i="8"/>
  <c r="S83" i="8" s="1"/>
  <c r="R79" i="8"/>
  <c r="S79" i="8" s="1"/>
  <c r="V79" i="8" s="1"/>
  <c r="D16" i="12" s="1"/>
  <c r="R75" i="8"/>
  <c r="R71" i="8"/>
  <c r="S71" i="8" s="1"/>
  <c r="V71" i="8" s="1"/>
  <c r="R67" i="8"/>
  <c r="R63" i="8"/>
  <c r="R59" i="8"/>
  <c r="S59" i="8" s="1"/>
  <c r="V59" i="8" s="1"/>
  <c r="R54" i="8"/>
  <c r="S54" i="8" s="1"/>
  <c r="R55" i="8"/>
  <c r="R52" i="8"/>
  <c r="R82" i="8"/>
  <c r="S82" i="8" s="1"/>
  <c r="V82" i="8" s="1"/>
  <c r="D19" i="12" s="1"/>
  <c r="R78" i="8"/>
  <c r="R74" i="8"/>
  <c r="R70" i="8"/>
  <c r="R66" i="8"/>
  <c r="S66" i="8" s="1"/>
  <c r="V66" i="8" s="1"/>
  <c r="R62" i="8"/>
  <c r="R58" i="8"/>
  <c r="R87" i="8"/>
  <c r="R86" i="8"/>
  <c r="R81" i="8"/>
  <c r="S81" i="8" s="1"/>
  <c r="V81" i="8" s="1"/>
  <c r="D18" i="12" s="1"/>
  <c r="R77" i="8"/>
  <c r="R73" i="8"/>
  <c r="R69" i="8"/>
  <c r="R65" i="8"/>
  <c r="S65" i="8" s="1"/>
  <c r="V65" i="8" s="1"/>
  <c r="R61" i="8"/>
  <c r="R57" i="8"/>
  <c r="V83" i="8" l="1"/>
  <c r="F12" i="12" s="1"/>
  <c r="T83" i="8"/>
  <c r="U87" i="8"/>
  <c r="T87" i="8"/>
  <c r="D15" i="12"/>
  <c r="V54" i="8"/>
  <c r="N95" i="8" s="1"/>
  <c r="M95" i="8"/>
  <c r="T79" i="8"/>
  <c r="U83" i="8"/>
  <c r="U80" i="8"/>
  <c r="T80" i="8"/>
  <c r="U81" i="8"/>
  <c r="T81" i="8"/>
  <c r="U82" i="8"/>
  <c r="T82" i="8"/>
  <c r="U79" i="8"/>
  <c r="U71" i="8"/>
  <c r="T71" i="8"/>
  <c r="U72" i="8"/>
  <c r="T72" i="8"/>
  <c r="U65" i="8"/>
  <c r="T65" i="8"/>
  <c r="U66" i="8"/>
  <c r="T66" i="8"/>
  <c r="U60" i="8"/>
  <c r="T60" i="8"/>
  <c r="U59" i="8"/>
  <c r="T59" i="8"/>
  <c r="U54" i="8"/>
  <c r="T54" i="8"/>
  <c r="U53" i="8"/>
  <c r="T53" i="8"/>
  <c r="S73" i="8"/>
  <c r="V73" i="8" s="1"/>
  <c r="U73" i="8"/>
  <c r="S52" i="8"/>
  <c r="U52" i="8"/>
  <c r="S63" i="8"/>
  <c r="V63" i="8" s="1"/>
  <c r="U63" i="8"/>
  <c r="S76" i="8"/>
  <c r="V76" i="8" s="1"/>
  <c r="C16" i="12" s="1"/>
  <c r="U76" i="8"/>
  <c r="S61" i="8"/>
  <c r="V61" i="8" s="1"/>
  <c r="U61" i="8"/>
  <c r="U77" i="8"/>
  <c r="S77" i="8"/>
  <c r="V77" i="8" s="1"/>
  <c r="C17" i="12" s="1"/>
  <c r="S58" i="8"/>
  <c r="U58" i="8"/>
  <c r="S74" i="8"/>
  <c r="V74" i="8" s="1"/>
  <c r="U74" i="8"/>
  <c r="U55" i="8"/>
  <c r="S55" i="8"/>
  <c r="V55" i="8" s="1"/>
  <c r="S67" i="8"/>
  <c r="V67" i="8" s="1"/>
  <c r="U67" i="8"/>
  <c r="S64" i="8"/>
  <c r="U64" i="8"/>
  <c r="S78" i="8"/>
  <c r="V78" i="8" s="1"/>
  <c r="C18" i="12" s="1"/>
  <c r="U78" i="8"/>
  <c r="S56" i="8"/>
  <c r="V56" i="8" s="1"/>
  <c r="U56" i="8"/>
  <c r="S68" i="8"/>
  <c r="V68" i="8" s="1"/>
  <c r="U68" i="8"/>
  <c r="S57" i="8"/>
  <c r="V57" i="8" s="1"/>
  <c r="U57" i="8"/>
  <c r="S70" i="8"/>
  <c r="U70" i="8"/>
  <c r="S62" i="8"/>
  <c r="V62" i="8" s="1"/>
  <c r="U62" i="8"/>
  <c r="U69" i="8"/>
  <c r="S69" i="8"/>
  <c r="V69" i="8" s="1"/>
  <c r="S75" i="8"/>
  <c r="V75" i="8" s="1"/>
  <c r="U75" i="8"/>
  <c r="V70" i="8" l="1"/>
  <c r="T70" i="8"/>
  <c r="V52" i="8"/>
  <c r="T52" i="8"/>
  <c r="V64" i="8"/>
  <c r="T64" i="8"/>
  <c r="V58" i="8"/>
  <c r="T58" i="8"/>
  <c r="W57" i="8"/>
  <c r="W75" i="8"/>
  <c r="W69" i="8"/>
  <c r="W63" i="8"/>
  <c r="T75" i="8"/>
  <c r="T57" i="8"/>
  <c r="T61" i="8"/>
  <c r="T73" i="8"/>
  <c r="L98" i="8"/>
  <c r="T69" i="8"/>
  <c r="T77" i="8"/>
  <c r="T55" i="8"/>
  <c r="T62" i="8"/>
  <c r="T56" i="8"/>
  <c r="T63" i="8"/>
  <c r="T68" i="8"/>
  <c r="T78" i="8"/>
  <c r="T67" i="8"/>
  <c r="L97" i="8"/>
  <c r="T74" i="8"/>
  <c r="T76" i="8"/>
  <c r="U85" i="8"/>
  <c r="U84" i="8"/>
  <c r="W58" i="8" l="1"/>
  <c r="D12" i="12" s="1"/>
  <c r="B13" i="12"/>
  <c r="W52" i="8"/>
  <c r="C12" i="12" s="1"/>
  <c r="B12" i="12"/>
  <c r="W64" i="8"/>
  <c r="C13" i="12" s="1"/>
  <c r="E12" i="12"/>
  <c r="W70" i="8"/>
  <c r="D13" i="12" s="1"/>
  <c r="E13" i="12"/>
  <c r="T85" i="8"/>
  <c r="L95" i="8"/>
  <c r="L96" i="8"/>
  <c r="A2" i="2"/>
  <c r="C98" i="2" s="1"/>
  <c r="O95" i="8" l="1"/>
  <c r="S87" i="8" s="1"/>
  <c r="Z50" i="2" l="1"/>
  <c r="Z59" i="2"/>
  <c r="Z60" i="2" l="1"/>
  <c r="Z61" i="2" s="1"/>
  <c r="Z62" i="2" s="1"/>
  <c r="AA63" i="2"/>
  <c r="Z51" i="2"/>
  <c r="Z52" i="2" s="1"/>
  <c r="Z53" i="2" s="1"/>
  <c r="AA54" i="2" l="1"/>
  <c r="AC6" i="2"/>
  <c r="R10" i="13" s="1"/>
  <c r="AC7" i="2"/>
  <c r="AA66" i="2"/>
  <c r="AA64" i="2"/>
  <c r="AA65" i="2"/>
  <c r="AA56" i="2"/>
  <c r="AA55" i="2"/>
  <c r="AA57" i="2"/>
</calcChain>
</file>

<file path=xl/comments1.xml><?xml version="1.0" encoding="utf-8"?>
<comments xmlns="http://schemas.openxmlformats.org/spreadsheetml/2006/main">
  <authors>
    <author>Szpot, Artur</author>
  </authors>
  <commentList>
    <comment ref="C55" authorId="0" shapeId="0">
      <text>
        <r>
          <rPr>
            <b/>
            <sz val="9"/>
            <color indexed="81"/>
            <rFont val="Tahoma"/>
            <family val="2"/>
            <charset val="238"/>
          </rPr>
          <t>Szpot, Artur:</t>
        </r>
        <r>
          <rPr>
            <sz val="9"/>
            <color indexed="81"/>
            <rFont val="Tahoma"/>
            <family val="2"/>
            <charset val="238"/>
          </rPr>
          <t xml:space="preserve">
na pewno jest lepsze tłumaczenie do użycia</t>
        </r>
      </text>
    </comment>
  </commentList>
</comments>
</file>

<file path=xl/sharedStrings.xml><?xml version="1.0" encoding="utf-8"?>
<sst xmlns="http://schemas.openxmlformats.org/spreadsheetml/2006/main" count="1304" uniqueCount="687">
  <si>
    <t>Tavern</t>
  </si>
  <si>
    <t>Barn</t>
  </si>
  <si>
    <t>Farm</t>
  </si>
  <si>
    <t>Oasis</t>
  </si>
  <si>
    <t>Paddock</t>
  </si>
  <si>
    <t>Tower</t>
  </si>
  <si>
    <t>Oracle</t>
  </si>
  <si>
    <t>Harbor</t>
  </si>
  <si>
    <t>Citizens</t>
  </si>
  <si>
    <t>Knights</t>
  </si>
  <si>
    <t>Base</t>
  </si>
  <si>
    <t>Maps</t>
  </si>
  <si>
    <t>Victory</t>
  </si>
  <si>
    <t>Queenies</t>
  </si>
  <si>
    <t>Queenie</t>
  </si>
  <si>
    <t>Capitols</t>
  </si>
  <si>
    <t>Caves</t>
  </si>
  <si>
    <t>Island</t>
  </si>
  <si>
    <t>Discoverers</t>
  </si>
  <si>
    <t>Hermits</t>
  </si>
  <si>
    <t>Farmers</t>
  </si>
  <si>
    <t>Lords</t>
  </si>
  <si>
    <t>Fishers</t>
  </si>
  <si>
    <t>Miners</t>
  </si>
  <si>
    <t>Merchants</t>
  </si>
  <si>
    <t>Workers</t>
  </si>
  <si>
    <t>Losowanie</t>
  </si>
  <si>
    <t>Victory - Dół</t>
  </si>
  <si>
    <t>Dostępność numerów</t>
  </si>
  <si>
    <t>Odczyt map</t>
  </si>
  <si>
    <t>Przeliczenie</t>
  </si>
  <si>
    <t>Poprawka na 0</t>
  </si>
  <si>
    <t>Modulo</t>
  </si>
  <si>
    <t>Odczyt finalny</t>
  </si>
  <si>
    <t>Dostępność numerów - pozycja</t>
  </si>
  <si>
    <t>Odczyt pozycji</t>
  </si>
  <si>
    <t>Rezultat:</t>
  </si>
  <si>
    <t>Odczyt finalny - mapa</t>
  </si>
  <si>
    <t>Odczyt finalny - pozycja</t>
  </si>
  <si>
    <t>Nomads</t>
  </si>
  <si>
    <t>Quarry</t>
  </si>
  <si>
    <t>Caravan</t>
  </si>
  <si>
    <t>Village</t>
  </si>
  <si>
    <t>Garden</t>
  </si>
  <si>
    <t>Families</t>
  </si>
  <si>
    <t>Shepherds</t>
  </si>
  <si>
    <t>Ambassadors</t>
  </si>
  <si>
    <t>Nomad</t>
  </si>
  <si>
    <t>Donation</t>
  </si>
  <si>
    <t>Resettlement</t>
  </si>
  <si>
    <t>Outpost</t>
  </si>
  <si>
    <t>Sword</t>
  </si>
  <si>
    <t>Treasure</t>
  </si>
  <si>
    <t>Crossroads</t>
  </si>
  <si>
    <t>Lighthouse/Forester's Lodge</t>
  </si>
  <si>
    <t>Barracks/Crossroads</t>
  </si>
  <si>
    <t>City hall/Fort</t>
  </si>
  <si>
    <t>Monastery/Wagon</t>
  </si>
  <si>
    <t>Task</t>
  </si>
  <si>
    <t>Home country</t>
  </si>
  <si>
    <t>Fortress</t>
  </si>
  <si>
    <t>Road</t>
  </si>
  <si>
    <t>Place of refuge</t>
  </si>
  <si>
    <t>Compass point</t>
  </si>
  <si>
    <t>Marshlands</t>
  </si>
  <si>
    <t>Temple</t>
  </si>
  <si>
    <t>Refuge</t>
  </si>
  <si>
    <t>Canoe</t>
  </si>
  <si>
    <t>Fountain</t>
  </si>
  <si>
    <t>Geologists</t>
  </si>
  <si>
    <t>Messengers</t>
  </si>
  <si>
    <t>Noblewomen</t>
  </si>
  <si>
    <t>Vassals</t>
  </si>
  <si>
    <t>Captains</t>
  </si>
  <si>
    <t>Scouts</t>
  </si>
  <si>
    <t>Harvest</t>
  </si>
  <si>
    <t>Bazaar/Water mill</t>
  </si>
  <si>
    <t>Mountain station/Scout cabin</t>
  </si>
  <si>
    <t>Cathedral/Watchtower</t>
  </si>
  <si>
    <t>University/Palisade</t>
  </si>
  <si>
    <t>Rangers</t>
  </si>
  <si>
    <t>Mayors</t>
  </si>
  <si>
    <t>Chainers</t>
  </si>
  <si>
    <t>Travellers</t>
  </si>
  <si>
    <t>Homesteaders</t>
  </si>
  <si>
    <t>Rovers</t>
  </si>
  <si>
    <t>Display name</t>
  </si>
  <si>
    <t>General usage guidelines:</t>
  </si>
  <si>
    <t>Force use?</t>
  </si>
  <si>
    <t>Use?</t>
  </si>
  <si>
    <t>Victory - Góra</t>
  </si>
  <si>
    <t>Use</t>
  </si>
  <si>
    <t>Exact</t>
  </si>
  <si>
    <t>Force</t>
  </si>
  <si>
    <t>Dół</t>
  </si>
  <si>
    <t>Góa</t>
  </si>
  <si>
    <t>Use exact?</t>
  </si>
  <si>
    <t>Góra</t>
  </si>
  <si>
    <t>Exact - dół</t>
  </si>
  <si>
    <t>Exact - góra</t>
  </si>
  <si>
    <t>Error checking:</t>
  </si>
  <si>
    <t>Exact&lt;&gt;0 -&gt; Use=0</t>
  </si>
  <si>
    <t>Exact+Force&gt;dostępne</t>
  </si>
  <si>
    <t>ile jest force</t>
  </si>
  <si>
    <t>ile jest dostępnych</t>
  </si>
  <si>
    <t>Use=0; Force+Exact&lt;&gt;4</t>
  </si>
  <si>
    <t>Suma(Force,Exact)&gt;4</t>
  </si>
  <si>
    <t>Data</t>
  </si>
  <si>
    <t>Other</t>
  </si>
  <si>
    <t>No.</t>
  </si>
  <si>
    <t>Set</t>
  </si>
  <si>
    <t>Name</t>
  </si>
  <si>
    <t>Use random</t>
  </si>
  <si>
    <t>Use exact</t>
  </si>
  <si>
    <t>Use forced</t>
  </si>
  <si>
    <t>Available</t>
  </si>
  <si>
    <t>Total</t>
  </si>
  <si>
    <t>General usage</t>
  </si>
  <si>
    <t>Error check</t>
  </si>
  <si>
    <t>Exact calculation</t>
  </si>
  <si>
    <t>Position</t>
  </si>
  <si>
    <t>Use random?</t>
  </si>
  <si>
    <t>Calculations</t>
  </si>
  <si>
    <t>Układ mapy</t>
  </si>
  <si>
    <t>Use exactly this many boards</t>
  </si>
  <si>
    <t>Use random boards?</t>
  </si>
  <si>
    <t>Force the usage of these boards:</t>
  </si>
  <si>
    <t>Board</t>
  </si>
  <si>
    <t>none</t>
  </si>
  <si>
    <t>Not everything needs to be a formula!</t>
  </si>
  <si>
    <t>yes</t>
  </si>
  <si>
    <t>no</t>
  </si>
  <si>
    <t>Victory cards</t>
  </si>
  <si>
    <t>CLEAR</t>
  </si>
  <si>
    <t>CLEAR ALL</t>
  </si>
  <si>
    <t>SET ALL TO NO</t>
  </si>
  <si>
    <t>Use exactly this many cards</t>
  </si>
  <si>
    <t>Use random cards?</t>
  </si>
  <si>
    <t>SET ALL TO YES</t>
  </si>
  <si>
    <t>Force the usage of these cards:</t>
  </si>
  <si>
    <t>Card</t>
  </si>
  <si>
    <t>Error readout:</t>
  </si>
  <si>
    <t>Exact&lt;&gt;0 -&gt; Use=0
(obsolete, auto-prevention enabled)</t>
  </si>
  <si>
    <t>Exact+Force&gt;dostępne (obsolete - suma(f,e) does it all)</t>
  </si>
  <si>
    <t>Errors</t>
  </si>
  <si>
    <t>ODCZYT:</t>
  </si>
  <si>
    <t>Back to top</t>
  </si>
  <si>
    <t>Suma(Force,Exact)&gt;3</t>
  </si>
  <si>
    <t>Use=0; Force+Exact&lt;&gt;3</t>
  </si>
  <si>
    <t>Task cards</t>
  </si>
  <si>
    <t>Task cards options</t>
  </si>
  <si>
    <t>Use task cards based on the chosen boards?</t>
  </si>
  <si>
    <t>Nomads: provide randomized nomad locations?</t>
  </si>
  <si>
    <t>Set names</t>
  </si>
  <si>
    <t>Advance</t>
  </si>
  <si>
    <t>GUI elements</t>
  </si>
  <si>
    <t>English</t>
  </si>
  <si>
    <t>comment</t>
  </si>
  <si>
    <t>(no need to translate)</t>
  </si>
  <si>
    <t>use caps please</t>
  </si>
  <si>
    <t>use a break (alt+enter) after every line</t>
  </si>
  <si>
    <t>(as in, which set are things from)</t>
  </si>
  <si>
    <t>Boards</t>
  </si>
  <si>
    <t>Boards options</t>
  </si>
  <si>
    <t>Queenies options</t>
  </si>
  <si>
    <t>not automatized just to be safe</t>
  </si>
  <si>
    <t>You need to choose exactly 4 maps to be forced or used in an exact quantity or choose at least one set to use random maps from. (Currently chosen:</t>
  </si>
  <si>
    <t>forced</t>
  </si>
  <si>
    <t>exact</t>
  </si>
  <si>
    <t>nothing</t>
  </si>
  <si>
    <t>You can only choose up to 4 maps to force and/or use an exact number of. (Currently chosen:</t>
  </si>
  <si>
    <t>Language:</t>
  </si>
  <si>
    <t>Languages</t>
  </si>
  <si>
    <t>Usage as boards</t>
  </si>
  <si>
    <t>Kingdom Builder cards</t>
  </si>
  <si>
    <t>Kingdom Builder cards options</t>
  </si>
  <si>
    <t>Use Kingdom Builder cards based on the chosen boards?</t>
  </si>
  <si>
    <t>You need to choose exactly 3 Kingdom Builder cards to be forced or used in an exact quantity or choose at least one set to use random Kingdom Builder cards from. (Currently chosen:</t>
  </si>
  <si>
    <t>You can only choose up to 3 Kingdom Builder cards to force and/or use an exact number of. (Currently chosen:</t>
  </si>
  <si>
    <t>n/a</t>
  </si>
  <si>
    <t>Use this?</t>
  </si>
  <si>
    <t>CAPITOLS</t>
  </si>
  <si>
    <t>Use according to standard rules?</t>
  </si>
  <si>
    <t>Use for any boards?</t>
  </si>
  <si>
    <t>Chance percentage of being used:</t>
  </si>
  <si>
    <t>CAVES</t>
  </si>
  <si>
    <t>Use at all?</t>
  </si>
  <si>
    <t>ISLAND</t>
  </si>
  <si>
    <t>Capitols:</t>
  </si>
  <si>
    <t>use as per rules?</t>
  </si>
  <si>
    <t>use always?</t>
  </si>
  <si>
    <t>chance</t>
  </si>
  <si>
    <t>losowanie</t>
  </si>
  <si>
    <t>use?</t>
  </si>
  <si>
    <t>use per rules?</t>
  </si>
  <si>
    <t>Caves:</t>
  </si>
  <si>
    <t>Island:</t>
  </si>
  <si>
    <t>board no</t>
  </si>
  <si>
    <t>Cave</t>
  </si>
  <si>
    <t>Capitol</t>
  </si>
  <si>
    <t>Use exactly this many task cards</t>
  </si>
  <si>
    <t>Chosen:</t>
  </si>
  <si>
    <r>
      <t xml:space="preserve">Setting an exact number forces "random" to "no" and vice versa.
Don't use </t>
    </r>
    <r>
      <rPr>
        <b/>
        <sz val="11"/>
        <color theme="1"/>
        <rFont val="Calibri"/>
        <family val="2"/>
        <charset val="238"/>
      </rPr>
      <t>ENTER</t>
    </r>
    <r>
      <rPr>
        <sz val="11"/>
        <color theme="1"/>
        <rFont val="Calibri"/>
        <family val="2"/>
        <scheme val="minor"/>
      </rPr>
      <t xml:space="preserve"> to confirm the exact number, as this will trigger the "random" cell.
Use </t>
    </r>
    <r>
      <rPr>
        <b/>
        <sz val="11"/>
        <color theme="1"/>
        <rFont val="Calibri"/>
        <family val="2"/>
        <charset val="238"/>
        <scheme val="minor"/>
      </rPr>
      <t>CTRL+ENTER</t>
    </r>
    <r>
      <rPr>
        <sz val="11"/>
        <color theme="1"/>
        <rFont val="Calibri"/>
        <family val="2"/>
        <scheme val="minor"/>
      </rPr>
      <t xml:space="preserve"> or click on an empty cell instead.</t>
    </r>
  </si>
  <si>
    <t>Polski</t>
  </si>
  <si>
    <t>Nazwy zestawów</t>
  </si>
  <si>
    <t>Podstawka</t>
  </si>
  <si>
    <t>Nomadzi</t>
  </si>
  <si>
    <t>Rozdroża</t>
  </si>
  <si>
    <t>Bagna</t>
  </si>
  <si>
    <t>Zbiory</t>
  </si>
  <si>
    <t>Plansze</t>
  </si>
  <si>
    <t>Tawerna</t>
  </si>
  <si>
    <t>Stodoła</t>
  </si>
  <si>
    <t>Farma</t>
  </si>
  <si>
    <t>Oaza</t>
  </si>
  <si>
    <t>Stadnina</t>
  </si>
  <si>
    <t>Wieża</t>
  </si>
  <si>
    <t>Wyrocznia</t>
  </si>
  <si>
    <t>Przystań</t>
  </si>
  <si>
    <t>Kamieniołom</t>
  </si>
  <si>
    <t>Karawana</t>
  </si>
  <si>
    <t>Wioska</t>
  </si>
  <si>
    <t>Ogród</t>
  </si>
  <si>
    <t>Opcje plansz</t>
  </si>
  <si>
    <t>Opcje kart Zadań</t>
  </si>
  <si>
    <t>Opcje dodatków Queenie</t>
  </si>
  <si>
    <t>Zestaw</t>
  </si>
  <si>
    <t>Plansza</t>
  </si>
  <si>
    <t>Karta</t>
  </si>
  <si>
    <t>Użyj dokładnie tylu plansz</t>
  </si>
  <si>
    <t>Użyć losowych plansz?</t>
  </si>
  <si>
    <t>tak</t>
  </si>
  <si>
    <t>nie</t>
  </si>
  <si>
    <t>WYCZYŚĆ</t>
  </si>
  <si>
    <t>WYCZYŚĆ WSZYSTKIE</t>
  </si>
  <si>
    <t>USTAW WSZYSTKIE NA NIE</t>
  </si>
  <si>
    <t>USTAW WSZYSTKIE NA TAK</t>
  </si>
  <si>
    <t>Język:</t>
  </si>
  <si>
    <t>Ustawienie dokładnego numeru przełącza "losowe" na "nie" i vice versa.
Nie używaj ENTERA aby zatwierdzić wprowadzony numer, gdyż spowoduje to zmianę wartości 
dla pola "losowe"; zamiast tego, użyj CTRL+ENTER lub kliknij na dowolną pustą komórkę.</t>
  </si>
  <si>
    <t>LOSUJ PONOWNIE</t>
  </si>
  <si>
    <t>Na górę</t>
  </si>
  <si>
    <t>lp</t>
  </si>
  <si>
    <t>możliwe wartości</t>
  </si>
  <si>
    <t>znaczenie</t>
  </si>
  <si>
    <t>exact Base</t>
  </si>
  <si>
    <t>exact Nomads</t>
  </si>
  <si>
    <t>exact Crossroads</t>
  </si>
  <si>
    <t>exact Marshlands</t>
  </si>
  <si>
    <t>exact Harvest</t>
  </si>
  <si>
    <t>random Base</t>
  </si>
  <si>
    <t>random Nomads</t>
  </si>
  <si>
    <t>random Crossroads</t>
  </si>
  <si>
    <t>random Marshlands</t>
  </si>
  <si>
    <t>random Harvest</t>
  </si>
  <si>
    <t>grupa</t>
  </si>
  <si>
    <t>boards</t>
  </si>
  <si>
    <t>force1</t>
  </si>
  <si>
    <t>force2</t>
  </si>
  <si>
    <t>force3</t>
  </si>
  <si>
    <t>force4</t>
  </si>
  <si>
    <t>0-4</t>
  </si>
  <si>
    <t>0/1</t>
  </si>
  <si>
    <t>0-24</t>
  </si>
  <si>
    <t>provide nomads?</t>
  </si>
  <si>
    <t>use kingdom cards based on boards</t>
  </si>
  <si>
    <t>0-3</t>
  </si>
  <si>
    <t>0-25</t>
  </si>
  <si>
    <t>kingdom</t>
  </si>
  <si>
    <t>use tasks based on boards</t>
  </si>
  <si>
    <t>exact tasks</t>
  </si>
  <si>
    <t>0-6</t>
  </si>
  <si>
    <t>000-100</t>
  </si>
  <si>
    <t>capitols - use as intended?</t>
  </si>
  <si>
    <t>capitols - use always?</t>
  </si>
  <si>
    <t>% chance</t>
  </si>
  <si>
    <t>caves - use?</t>
  </si>
  <si>
    <t>Island - use?</t>
  </si>
  <si>
    <t>SAVE STRUCTURE - OPTIONS</t>
  </si>
  <si>
    <t>SAVE STRUCTURE - GAME</t>
  </si>
  <si>
    <t>plansza1</t>
  </si>
  <si>
    <t>capitol?</t>
  </si>
  <si>
    <t>cave?</t>
  </si>
  <si>
    <t>0-15</t>
  </si>
  <si>
    <t>nomad1</t>
  </si>
  <si>
    <t>nomad2</t>
  </si>
  <si>
    <t>nomad3</t>
  </si>
  <si>
    <t>7-24</t>
  </si>
  <si>
    <t>j/w</t>
  </si>
  <si>
    <t>plansze2-4</t>
  </si>
  <si>
    <t>1-25</t>
  </si>
  <si>
    <t>victory1</t>
  </si>
  <si>
    <t>victory2</t>
  </si>
  <si>
    <t>victory3</t>
  </si>
  <si>
    <t>task1</t>
  </si>
  <si>
    <t>29-31</t>
  </si>
  <si>
    <t>task2-4</t>
  </si>
  <si>
    <t>island?</t>
  </si>
  <si>
    <t>value</t>
  </si>
  <si>
    <t>byte value</t>
  </si>
  <si>
    <t>end result:</t>
  </si>
  <si>
    <t>len</t>
  </si>
  <si>
    <t>sum</t>
  </si>
  <si>
    <t>part. sum</t>
  </si>
  <si>
    <t>mid result 1:</t>
  </si>
  <si>
    <t>VERSION:</t>
  </si>
  <si>
    <t>000-500?</t>
  </si>
  <si>
    <t>000-131?</t>
  </si>
  <si>
    <t>version</t>
  </si>
  <si>
    <t>x.xxx</t>
  </si>
  <si>
    <t>part.sum</t>
  </si>
  <si>
    <t>SAVE [DE]CONSTRUCTION - OPTIONS</t>
  </si>
  <si>
    <t>read value</t>
  </si>
  <si>
    <t>read pos.</t>
  </si>
  <si>
    <t>read len</t>
  </si>
  <si>
    <t>SAVE [DE]CONSTRUCTION - GAME</t>
  </si>
  <si>
    <t>xxx</t>
  </si>
  <si>
    <t>suma</t>
  </si>
  <si>
    <t>sum.part</t>
  </si>
  <si>
    <t>yy</t>
  </si>
  <si>
    <t>nic</t>
  </si>
  <si>
    <t>v.vvvv</t>
  </si>
  <si>
    <t>Use for map</t>
  </si>
  <si>
    <t>map</t>
  </si>
  <si>
    <t>Nomad addition</t>
  </si>
  <si>
    <t>position</t>
  </si>
  <si>
    <t>Nomad map</t>
  </si>
  <si>
    <t>Use Nomad roll?</t>
  </si>
  <si>
    <t>Mountain</t>
  </si>
  <si>
    <t>Water</t>
  </si>
  <si>
    <t>Canyon</t>
  </si>
  <si>
    <t>Desert</t>
  </si>
  <si>
    <t>Flower field</t>
  </si>
  <si>
    <t>Forest</t>
  </si>
  <si>
    <t>\m/ d[^_^]b \m/</t>
  </si>
  <si>
    <t>Grass</t>
  </si>
  <si>
    <t>Auto refresh:</t>
  </si>
  <si>
    <t>włączone</t>
  </si>
  <si>
    <t>wyłączone</t>
  </si>
  <si>
    <t>Automatyczne odświeżanie:</t>
  </si>
  <si>
    <t>ON</t>
  </si>
  <si>
    <t>OFF</t>
  </si>
  <si>
    <t>If an exact number was chosen to be used, these will be among that number (and will potentially exceed it).</t>
  </si>
  <si>
    <t>and</t>
  </si>
  <si>
    <t>on</t>
  </si>
  <si>
    <t>off</t>
  </si>
  <si>
    <t>wybierz</t>
  </si>
  <si>
    <t>tasks</t>
  </si>
  <si>
    <t>end</t>
  </si>
  <si>
    <t>plansze</t>
  </si>
  <si>
    <t>taski</t>
  </si>
  <si>
    <t>input value: (program)</t>
  </si>
  <si>
    <t>input value: (game)</t>
  </si>
  <si>
    <t>Program</t>
  </si>
  <si>
    <t>Game</t>
  </si>
  <si>
    <t>Use Queenies?</t>
  </si>
  <si>
    <t>Options presets</t>
  </si>
  <si>
    <t>SAVE</t>
  </si>
  <si>
    <t>Load a saved option preset</t>
  </si>
  <si>
    <t>LOAD</t>
  </si>
  <si>
    <t>Save current option preset as: (limited to 150 characters)</t>
  </si>
  <si>
    <t>Queenie: Island</t>
  </si>
  <si>
    <t>Game presets</t>
  </si>
  <si>
    <t>Save current game preset as: (limited to 150 characters)</t>
  </si>
  <si>
    <t>Load a saved game preset</t>
  </si>
  <si>
    <t>Game setup impossible to generate unitl errors are resolved. Consult the error messages above and correct the appropriate options to see results.</t>
  </si>
  <si>
    <t>GENERATE A NEW SETUP</t>
  </si>
  <si>
    <t>Options</t>
  </si>
  <si>
    <t>Delete a saved game preset</t>
  </si>
  <si>
    <t>Delete a saved options preset</t>
  </si>
  <si>
    <t>DELETE</t>
  </si>
  <si>
    <t>pos</t>
  </si>
  <si>
    <t>val</t>
  </si>
  <si>
    <t>LastLNG</t>
  </si>
  <si>
    <t>choose...</t>
  </si>
  <si>
    <t>wybierz...</t>
  </si>
  <si>
    <t>b1</t>
  </si>
  <si>
    <t>b2</t>
  </si>
  <si>
    <t>b3</t>
  </si>
  <si>
    <t>b4</t>
  </si>
  <si>
    <t>v1</t>
  </si>
  <si>
    <t>v2</t>
  </si>
  <si>
    <t>v3</t>
  </si>
  <si>
    <t>t1</t>
  </si>
  <si>
    <t>t2</t>
  </si>
  <si>
    <t>t3</t>
  </si>
  <si>
    <t>t4</t>
  </si>
  <si>
    <t>Mieszczanie</t>
  </si>
  <si>
    <t>Rycerze</t>
  </si>
  <si>
    <t>Odkrywcy</t>
  </si>
  <si>
    <t>Samotnicy</t>
  </si>
  <si>
    <t>Farmerzy</t>
  </si>
  <si>
    <t>Lordowie</t>
  </si>
  <si>
    <t>Rybacy</t>
  </si>
  <si>
    <t>Górnicy</t>
  </si>
  <si>
    <t>Kupcy</t>
  </si>
  <si>
    <t>Pracownicy</t>
  </si>
  <si>
    <t>Rodziny</t>
  </si>
  <si>
    <t>Pasterze</t>
  </si>
  <si>
    <t>Geologowie</t>
  </si>
  <si>
    <t>Posłańcy</t>
  </si>
  <si>
    <t>Szlachcianki</t>
  </si>
  <si>
    <t>Wasale</t>
  </si>
  <si>
    <t>Kapitanowie</t>
  </si>
  <si>
    <t>Zwiadowcy</t>
  </si>
  <si>
    <t>Majorowie</t>
  </si>
  <si>
    <t>Podróżnicy</t>
  </si>
  <si>
    <t>check</t>
  </si>
  <si>
    <t>tabela zgodności wersji</t>
  </si>
  <si>
    <t>program</t>
  </si>
  <si>
    <t>save</t>
  </si>
  <si>
    <t>WZ WAS</t>
  </si>
  <si>
    <t>HERE</t>
  </si>
  <si>
    <t>for KBR</t>
  </si>
  <si>
    <t>-&gt;</t>
  </si>
  <si>
    <t>error checks:</t>
  </si>
  <si>
    <t>nomads set for non-nomad board</t>
  </si>
  <si>
    <t>more than two capitols</t>
  </si>
  <si>
    <t>caves not everywhere</t>
  </si>
  <si>
    <t>total</t>
  </si>
  <si>
    <t>false for oper.;
true for save</t>
  </si>
  <si>
    <t>corrected</t>
  </si>
  <si>
    <t>forbidden name</t>
  </si>
  <si>
    <t>Name/Data</t>
  </si>
  <si>
    <t>error message</t>
  </si>
  <si>
    <t>error message title</t>
  </si>
  <si>
    <t>Forbidden name</t>
  </si>
  <si>
    <t>Sorry, you cannot use this name for your save.</t>
  </si>
  <si>
    <t>doubled name?</t>
  </si>
  <si>
    <t>doubled save?</t>
  </si>
  <si>
    <t>Repeated save</t>
  </si>
  <si>
    <t>There already is an identical game setup saved under the name</t>
  </si>
  <si>
    <t>error title</t>
  </si>
  <si>
    <t>Repeated name</t>
  </si>
  <si>
    <t>There already is a saved game setup under this name.</t>
  </si>
  <si>
    <t>doubled name error message</t>
  </si>
  <si>
    <t>title</t>
  </si>
  <si>
    <t>use queenies?</t>
  </si>
  <si>
    <t>There already is an identical options setup saved under the name</t>
  </si>
  <si>
    <t>There already is a saved options setup under this name.</t>
  </si>
  <si>
    <t>error msg</t>
  </si>
  <si>
    <t>Corrupt save</t>
  </si>
  <si>
    <t>The save data is corrupted and couldn't be loaded. Do you want to delete it?</t>
  </si>
  <si>
    <t>Odczyt force'ów dla ładowania save'ów</t>
  </si>
  <si>
    <t>TASKS</t>
  </si>
  <si>
    <t>-</t>
  </si>
  <si>
    <t>fill this too</t>
  </si>
  <si>
    <t>Latarnia/Leśniczówka</t>
  </si>
  <si>
    <t>Baraki/Rozdroża</t>
  </si>
  <si>
    <t>Przesiedlenie</t>
  </si>
  <si>
    <t>Placówka</t>
  </si>
  <si>
    <t>Miecz</t>
  </si>
  <si>
    <t>Skarb</t>
  </si>
  <si>
    <t>Ambasadorowie</t>
  </si>
  <si>
    <t>Karty Budowniczych Królestwa</t>
  </si>
  <si>
    <t>Góry</t>
  </si>
  <si>
    <t>Woda</t>
  </si>
  <si>
    <t>Kanion</t>
  </si>
  <si>
    <t>Pustynia</t>
  </si>
  <si>
    <t>Kwiaty</t>
  </si>
  <si>
    <t>Las</t>
  </si>
  <si>
    <t>Trawa</t>
  </si>
  <si>
    <t>Ratusz/Fort</t>
  </si>
  <si>
    <t>Klasztor/Wóz</t>
  </si>
  <si>
    <t>Świątynia</t>
  </si>
  <si>
    <t>Azyl</t>
  </si>
  <si>
    <t>Fontanna</t>
  </si>
  <si>
    <t>Bazar/Młyn wodny</t>
  </si>
  <si>
    <t>Górska stacja/Kabina zwiadowców</t>
  </si>
  <si>
    <t>Katedra/Wieża obserwacyjna</t>
  </si>
  <si>
    <t>Uniwersytet/Palisada</t>
  </si>
  <si>
    <t>Przodownicy</t>
  </si>
  <si>
    <t>Wytwórcy łańcuchów</t>
  </si>
  <si>
    <t>Osadnicy</t>
  </si>
  <si>
    <t>Wędrowcy</t>
  </si>
  <si>
    <t>Dodatki Queenie</t>
  </si>
  <si>
    <t>Używać dodatków Queenie?</t>
  </si>
  <si>
    <t>Kapitole</t>
  </si>
  <si>
    <t>Kapitol</t>
  </si>
  <si>
    <t>Jaskinie</t>
  </si>
  <si>
    <t>Jaskinia</t>
  </si>
  <si>
    <t>Wyspa</t>
  </si>
  <si>
    <t>Queenie: Wyspa</t>
  </si>
  <si>
    <t>KAPITOLE</t>
  </si>
  <si>
    <t>JASKINIE</t>
  </si>
  <si>
    <t>WYSPA</t>
  </si>
  <si>
    <t>Użyć zgodnie ze standardowymi zasadami?</t>
  </si>
  <si>
    <t>Użyć dla dowolnych plansz?</t>
  </si>
  <si>
    <t>Procentowa szansa na użycie:</t>
  </si>
  <si>
    <t>Używać w ogóle?</t>
  </si>
  <si>
    <t>Karty Zadań</t>
  </si>
  <si>
    <t>Ojczyzna</t>
  </si>
  <si>
    <t>Forteca</t>
  </si>
  <si>
    <t>Droga</t>
  </si>
  <si>
    <t>Miejsce azylu</t>
  </si>
  <si>
    <t>Natarcie</t>
  </si>
  <si>
    <t>Punkty kompasu</t>
  </si>
  <si>
    <t>Nomadzi: losować także lokacje Nomadów?</t>
  </si>
  <si>
    <t>Wymuś użycie tych plansz:</t>
  </si>
  <si>
    <t>Użyj kart Budowniczych Królestwa na podstawie wybranych plansz?</t>
  </si>
  <si>
    <t>Użyj dokładnie tylu kart</t>
  </si>
  <si>
    <t>Używać losowych kart?</t>
  </si>
  <si>
    <t>Wymuś użycie tych kart:</t>
  </si>
  <si>
    <t>Użyj kart Zadań na podstawie wybranych plansz?</t>
  </si>
  <si>
    <t>Użyj dokładnie tylu kart Zadań</t>
  </si>
  <si>
    <t>Karta Zadań</t>
  </si>
  <si>
    <t>Zapisane ustawienia</t>
  </si>
  <si>
    <t>Zapisz aktualne ustawienie jako: (ograniczone do 150 znaków)</t>
  </si>
  <si>
    <t>ZAPISZ</t>
  </si>
  <si>
    <t>WCZYTAJ</t>
  </si>
  <si>
    <t>Opcje</t>
  </si>
  <si>
    <t>Usuń zapisane ustawienie</t>
  </si>
  <si>
    <t>USUŃ</t>
  </si>
  <si>
    <t>Musisz wybrać dokładnie 4 mapy do wymuszenia lub użycia w dokładnej liczbie albo wybrać co najmniej jeden zestaw, z którego można wybrać losowe mapy. (Aktualnie wybrano:</t>
  </si>
  <si>
    <t>no line breaks here, no space after the colon</t>
  </si>
  <si>
    <t>do wymuszenia</t>
  </si>
  <si>
    <t>Musisz wybrać co najwyżej 4 mapy do wymuszenia lub użycia w dokładnej liczbie. (Aktualnie wybrano:</t>
  </si>
  <si>
    <t>Musisz wybrać dokładnie 3 karty Budowniczych Królestwa do wymuszenia lub użycia w dokładnej liczbie albo wybrać co najmniej jeden zestaw, z którego można wybrać losowe karty. (Aktualnie wybrano:</t>
  </si>
  <si>
    <t>Musisz wybrać co najwyżej 4 karty Budowniczych Królestwa do wymuszenia lub użycia w dokładnej liczbie. (Aktualnie wybrano:</t>
  </si>
  <si>
    <t>i</t>
  </si>
  <si>
    <t>Wygenerowanie ustawienia gry nie będzie możliwe, dopóki nie zostaną poprawione błędy. Zastosuj się do komunikatów widocznych powyżej, aby móc wygenerować nowe ustawienie.</t>
  </si>
  <si>
    <t>Niedozwolona nazwa</t>
  </si>
  <si>
    <t>Wybacz, nie możesz użyć tej nazwy zapisu.</t>
  </si>
  <si>
    <t>Powtórzony zapis</t>
  </si>
  <si>
    <t>Identyczne ustawienie zostało już zapisane pod nazwą</t>
  </si>
  <si>
    <t>no space at the end</t>
  </si>
  <si>
    <t>Error message title</t>
  </si>
  <si>
    <t>Powtórzona nazwa zapisu</t>
  </si>
  <si>
    <t>Istnieje już ustawienie zapisane pod tą nazwą.</t>
  </si>
  <si>
    <t>Zapisane dane zawierają błąd i nie mogły zostać wczytane. Czy chcesz usunąć zapis?</t>
  </si>
  <si>
    <t>Błędne dane</t>
  </si>
  <si>
    <t>Błędy</t>
  </si>
  <si>
    <t>fill this too (this is visible in KB randomizer when errors are present)</t>
  </si>
  <si>
    <t>w dokładnej liczbie</t>
  </si>
  <si>
    <t>Opcje kart Budowniczych Królestwa</t>
  </si>
  <si>
    <t>OBSOLETE</t>
  </si>
  <si>
    <t>Jeśli wskazano dokładną liczbę kart do użycia, znajdą się wśród nich te wymuszone poniżej (potencjalnie przekraczając wskazaną dokładną liczbę).</t>
  </si>
  <si>
    <t>Wczytaj zapisane ustawienie</t>
  </si>
  <si>
    <t>IMPORT</t>
  </si>
  <si>
    <t>About</t>
  </si>
  <si>
    <t>Created by Artur Szpot</t>
  </si>
  <si>
    <t>05.12.2018 - 06.02.2019</t>
  </si>
  <si>
    <t>Kingdom Builder was created by Donald X. Vaccarino and published by Queen Games.</t>
  </si>
  <si>
    <t>This is a fan-made addition meant to facilitate randomizing game setups.</t>
  </si>
  <si>
    <t>Kingdom Builder randomizer v.0.1</t>
  </si>
  <si>
    <t>Kingdom Builder page on BoardGameGeek</t>
  </si>
  <si>
    <t>Donald X. Vaccarino page on BoardGameGeek</t>
  </si>
  <si>
    <t>Queen Games official page</t>
  </si>
  <si>
    <t>The author's profile on BoardGameGeek</t>
  </si>
  <si>
    <t>Language support</t>
  </si>
  <si>
    <t>Saves</t>
  </si>
  <si>
    <t>All the saves this tool uses are stored within it, so there is no need to point to a place on your hard drive to store them. To the best of my knowledge, it is able to serve upwards of 16 000 saves, so no need to worry there :) The import/export feature allows you to store the saves outside of the file, for example to share them on the web.</t>
  </si>
  <si>
    <t>Tab names</t>
  </si>
  <si>
    <t>I'm sorry, but due to how the built-in VBA code works, it is impossible to change the name of the tabs to fit the language.</t>
  </si>
  <si>
    <t>Legal note</t>
  </si>
  <si>
    <t>The author makes no claim to ownership of anything beyond the code used by this tool.</t>
  </si>
  <si>
    <t>Bug reports &amp; suggestions</t>
  </si>
  <si>
    <t>If you have any suggestions or would like to report any faulty behavior of the tool, I would be most glad to hear from you! Please contact me on BoardGameGeek (see link above).</t>
  </si>
  <si>
    <t>Version history</t>
  </si>
  <si>
    <t>v.0.1 - initial release</t>
  </si>
  <si>
    <t>Import/export</t>
  </si>
  <si>
    <t>Import a game preset</t>
  </si>
  <si>
    <t>Export a game preset</t>
  </si>
  <si>
    <t>EXPORT</t>
  </si>
  <si>
    <t>Import an option preset</t>
  </si>
  <si>
    <t>Export an option preset</t>
  </si>
  <si>
    <t>Importuj zapisane ustawienie</t>
  </si>
  <si>
    <t>Eksportuj zapisane ustawienie</t>
  </si>
  <si>
    <t>IMPORTUJ</t>
  </si>
  <si>
    <t>EKSPORTUJ</t>
  </si>
  <si>
    <t>Invalid data</t>
  </si>
  <si>
    <t>The data you are trying to import is not a valid option preset.</t>
  </si>
  <si>
    <t>The data you are trying to import is not a valid game preset.</t>
  </si>
  <si>
    <t>Nieprawidłowe dane</t>
  </si>
  <si>
    <t>Dane, które próbujesz zaimportować, nie są możliwym ustawieniem.</t>
  </si>
  <si>
    <t>Sukces</t>
  </si>
  <si>
    <t>Export successful</t>
  </si>
  <si>
    <t>Import successful</t>
  </si>
  <si>
    <t>Message title</t>
  </si>
  <si>
    <t>Wybrane ustawienie zostało pomyślnie wygenerowane do pola tekstowego obok przycisku "importuj".</t>
  </si>
  <si>
    <t>The selected preset was generated into the Import input field.</t>
  </si>
  <si>
    <t>backup:</t>
  </si>
  <si>
    <t>Preset successfully loaded. If you would like to save it in your collection, use the save option.</t>
  </si>
  <si>
    <t>Ustawienie wczytane pomyślnie. Aby zapisać je w swojej kolekcji, użyj opcji Zapisz.</t>
  </si>
  <si>
    <t>0.1</t>
  </si>
  <si>
    <t>Base game only</t>
  </si>
  <si>
    <t>23000000001700000000180000000002000000001921170000011704500000.1</t>
  </si>
  <si>
    <t>00000100000000000011000000000000001000000100101010101003701000.1</t>
  </si>
  <si>
    <t>Full random setting</t>
  </si>
  <si>
    <t>00000111110000000011000000000000001000001100101010101004201500.1</t>
  </si>
  <si>
    <t>Absolutely everything</t>
  </si>
  <si>
    <t>00000111110000000010000011110000000400001010251025102509303900.1</t>
  </si>
  <si>
    <t>Due to the author's limited abilities, the original release only supports two languages, possible to change in the Options tab. If you are interested in helping to increase that number, please contact me on BoardGameGeek (see link above). See also the file page on BoardGameGeek for a version of the file prepared to enable work on translations.</t>
  </si>
  <si>
    <t>Program losujący do gry Budowniczowie Królestwa, wersja 0.1</t>
  </si>
  <si>
    <t>Oryginalny plik zamieszczony na stronie BoardGameGeek</t>
  </si>
  <si>
    <t>Stworzony przez Artura Szpota</t>
  </si>
  <si>
    <t>Profil autora na stronie BoardGameGeek</t>
  </si>
  <si>
    <t>Uwagi prawne</t>
  </si>
  <si>
    <t>Program jest fanowskim dodatkiem mającym na celu ułatwienie losowania ustawień gry.</t>
  </si>
  <si>
    <t>Budowniczowie Królestwa to gra autorstwa Donalda X. Vaccarino, opublikowana przez Queen Games, a w Polsce przez Rebel.pl.</t>
  </si>
  <si>
    <t>Autor nie zgłasza praw własności do niczego poza napisanym na potrzeby tego narzędzia kodem.</t>
  </si>
  <si>
    <t>Budowniczowie Królestwa na stronie BoardGameGeek</t>
  </si>
  <si>
    <t>Profil autora gry, Donalda X. Vaccarino na stronie BoardGameGeek</t>
  </si>
  <si>
    <t>Oficjalna strona wydawnictwa Queen Games</t>
  </si>
  <si>
    <t>Zgłaszanie błędów i sugestii</t>
  </si>
  <si>
    <t>Jeśli masz jakiekolwiek sugestie albo chciał(a)byś zgłosić błąd w działaniu programu, będzie mi bardzo miło od Ciebie usłyszeć! Proszę o kontakt za pośrednictwem strony BoardGameGeek (link powyżej).</t>
  </si>
  <si>
    <t>Zapisy</t>
  </si>
  <si>
    <t>Wszystkie zapisy tworzone wewnątrz programu zapisują się w nim samym, więc nie trzeba szukać na nie miejsca na dysku. O ile mi wiadomo, spokojnie pomieści ich ponad 16.000, więc nie trzeba się ograniczać :) Możliwość importowania/eksportowania pozwala także na składowanie zapisów poza samym plikiem, na przykład w celu dzielenia się ustawieniami w internecie.</t>
  </si>
  <si>
    <r>
      <t xml:space="preserve">Za względu na ograniczone zdolności autora w tym zakresie, oryginalna wersja programu zawiera tylko dwa języki, które można zmienić w zakładce </t>
    </r>
    <r>
      <rPr>
        <b/>
        <sz val="11"/>
        <color theme="1"/>
        <rFont val="Calibri"/>
        <family val="2"/>
        <charset val="238"/>
      </rPr>
      <t>Options</t>
    </r>
    <r>
      <rPr>
        <sz val="11"/>
        <color theme="1"/>
        <rFont val="Calibri"/>
        <family val="2"/>
        <charset val="238"/>
      </rPr>
      <t>. Jeśli ktoś chciałby pomóc zwiększyć tę liczbę, proszę o kontakt za pośrednictwem strony BoardGameGeek (patrz wyżej). Na stronie programu znajduje się ponadto jego wersja przeznaczona specjalnie do pracy nad tłumaczeniem.</t>
    </r>
  </si>
  <si>
    <t>Nazwy zakładek</t>
  </si>
  <si>
    <t>Przykro mi, ale ze względu na sposób działania kodu VBA, nie jest możliwa zmiana nazw zakładek.</t>
  </si>
  <si>
    <t>Historia wersji</t>
  </si>
  <si>
    <t>wersja 0.1 - oryginalny debiut programu</t>
  </si>
  <si>
    <t>Translator's notes</t>
  </si>
  <si>
    <t>Author has nothing further to say. Left for future translators.</t>
  </si>
  <si>
    <t>The Polish version is not a typo, it is merely declination. Go ahead and use simply 'Artur Szpot' :)</t>
  </si>
  <si>
    <t>the links</t>
  </si>
  <si>
    <t>Go wild :)</t>
  </si>
  <si>
    <t>Uwagi tłumacza</t>
  </si>
  <si>
    <t>Autor nie ma nic do dodania. Miejsce pozostawione dla przyszłych tłumaczy.</t>
  </si>
  <si>
    <t>O programie</t>
  </si>
  <si>
    <t>Wspierane języki</t>
  </si>
  <si>
    <t>Upside down:</t>
  </si>
  <si>
    <t>1-48</t>
  </si>
  <si>
    <t>&gt;24 = do góry nogami</t>
  </si>
  <si>
    <t>Rope Bridge</t>
  </si>
  <si>
    <t>Tree House</t>
  </si>
  <si>
    <t>Added while releasing v.0.1 (i.e. last-minute corrections)</t>
  </si>
  <si>
    <t>Most linowy</t>
  </si>
  <si>
    <t>Domek na drzewie</t>
  </si>
  <si>
    <t>0-2</t>
  </si>
  <si>
    <t>0=no, 1=rb, 2=th</t>
  </si>
  <si>
    <t>I intended to protect the entire file against modifications, but there are two problems: it starts to lag a lot as it needs to unprotect itself for several operations, and I fear some people might find the 1920-pixel-appropriate display to be too wide for their screens (there is always the zoom option, but that then messes with text size). Since messing with the columns' width does no harm to the program beyond its aesthetics, I can allow that. That being said, I want to stress that the only guarantee of nothing being changed in this program is by downloading it from the official source (see link above).</t>
  </si>
  <si>
    <t>W początkowym zamierzeniu cały plik miał być zabezpieczony przed modyfikacjami, ale zauważyłem dwa problemy: po pierwsze, program bardzo zwolnił przy co bardziej skomplikowanych operacjach, które wymagały wielokrotnego za- i od-hasłowywania; ponadto, układ stworzony dla ekranów o rozdzielczości 1920 px szerokości może dla niektórych być zbyt szeroki (a zoom nie pomaga, bo tekst robi się za mały). Ponieważ zmienianie szerokości kolumn nie wpływa na działanie programu, jest to zmiana, którą mogę dopuścić. Tym niemniej, pragnę położyć nacisk na to, iż jedyną gwarancją ściągnięcia wersji programu, w której nie wprowadzał zmian nikt poza autorem to odwiedzenie oficjalnego źródła (powyżej).</t>
  </si>
  <si>
    <t>Instructions</t>
  </si>
  <si>
    <t>Instrukcje</t>
  </si>
  <si>
    <t>Under board options, for each expansion, you can either choose an exact number of boards to be used from this expansion; or allow the program to add boards from this expansion to the pool from which it will then randomly select boards. To the right, there is also a possibility of choosing particular boards to be forced - these are then guaranteed to be used, with the rest provided according to the exact/random pool chosen.</t>
  </si>
  <si>
    <t>The "clear" button next to the exact numbers sets them all to zero.</t>
  </si>
  <si>
    <t>If Nomads boards are being used, you have the option to allow the program to automatically randomize the Nomad locations on the map as well.</t>
  </si>
  <si>
    <t>If in a "force" position set has been chosen, but not board, it will not affect the setup.</t>
  </si>
  <si>
    <t>If you leave the default setting on, the program will randomly choose Kingdom Builder cards from the base game and those expansions which are represented by boards chosen to be used.</t>
  </si>
  <si>
    <t>If you turn it off, you have the ability to control how the cards will be chosen in exactly the same way as with the boards.</t>
  </si>
  <si>
    <t>Turning the default setting back on will remember the more detailed settings, but disregard them until it is turned off again.</t>
  </si>
  <si>
    <t>If you leave the default setting on, the program will randomly choose as many Task cards as there are boards in the setup from Crossroads expansion.</t>
  </si>
  <si>
    <t>If you turn it off, you have the ability to control how many cards will be chosen and/or the exact cards to be used. If an exact number is chosen to be used, the forced cards will be among that number (and may potentially exceed it).</t>
  </si>
  <si>
    <t>Presets</t>
  </si>
  <si>
    <t>To load a preset, choose one from the dropdown list and press "load".</t>
  </si>
  <si>
    <t>To delete a preset, choose one from the dropdown list and press "delete".</t>
  </si>
  <si>
    <t>To import a preset, paste (or type, if you're hardcore) it into the appropriate gray box and press "import".</t>
  </si>
  <si>
    <t>To export a preset, choose one from the dropdown list and press "export". The data will be generated into the import input box - just copy and paste it to share.</t>
  </si>
  <si>
    <t>The randomizer itself</t>
  </si>
  <si>
    <t>Everything should be pretty self-explanatory, but here are a few finer details:</t>
  </si>
  <si>
    <t>The boards represent a complete setup - that is, you are informed of the expansion to which each of them belongs, the location by which it can be discerned, whether any Queenies are present, what Nomad locations to use (if applicable and desired, see Boards options). The little arrow next to the big blue box tells you whether the board should be laid normally or upside down.</t>
  </si>
  <si>
    <t>If Queenie Island is to be used, it will appear to the right of the normal boards, also with the side chosen.</t>
  </si>
  <si>
    <t>Whenever you click "generate a new setup", exactly that will happen, according to the options currently set. If the options are chosen in a way that makes it impossible to generate a new setup, an appropriate error message will appear. The option category names also turn red when there are errors in them.</t>
  </si>
  <si>
    <t>If anything isn't covered by these instructions, feel free to ask - see the About tab for contact information.</t>
  </si>
  <si>
    <t>things I won't do:</t>
  </si>
  <si>
    <t>auto-resolution</t>
  </si>
  <si>
    <t>min/max</t>
  </si>
  <si>
    <t>W opcjach plansz możliwe jest wybranie dla każdego dodatku z osobna albo ile dokładnie plansz z tego dodatku ma zostać użytych, albo czy plansze z tego dodatku mają znaleźć się w puli do losowania. Po prawej można ponadto wymusić użycie konkretnych plansz.</t>
  </si>
  <si>
    <t>Przycisk "wyczyść" obok liczby dokładnych plansz ustawia je wszystkie na zero.</t>
  </si>
  <si>
    <t>Jeśli używane są plansze z dodatku Nomadzi, istnieje możliwość ustawienia, czy program ma także losować lokacje Nomadów.</t>
  </si>
  <si>
    <t>Jeśli w pozycji wymuszonej wybrany został dodatek, ale nie plansza, nie będzie to miało wpływu na ustawienie plansz.</t>
  </si>
  <si>
    <t>Pozostawienie domyślnej opcji załączonej sprawi, że karty Budowniczych Królestwa wybrane zostaną spośród podstawowych oraz tych z dodatków, z których użyta została co najmniej jedna plansza.</t>
  </si>
  <si>
    <t>Wyłączenie jej daje możliwość wpływania na to, które karty będą użyte w identyczny sposób jak w przypadku plansz.</t>
  </si>
  <si>
    <t>Włączenie opcji domyślnej z powrotem zapamięta wprowadzone ustawienia szczegółowe, ale zignoruje je dopóki nie zostanie wyłączona.</t>
  </si>
  <si>
    <t>Pozostawienie domyślnej opcji załączonej sprawi, że program wybierze tyle kart Zadań, ile plansz z dodatku Rozdroża zostało wybranych do użycia.</t>
  </si>
  <si>
    <t>Wyłączenie jej daje możliwość wpływania na to, ile dokładnie kart Zadań zostanie użytych i/lub które dokładnie karty mają zostać użyte. Jeśli wybrana zostanie dokładna liczba, wskazane karty znajdą się w tej liczbie (a nawet potencjalnie ją przekroczą).</t>
  </si>
  <si>
    <t>Dodatki Queenie mogą zostać całkowicie wyłączone. Jeśli zdecydujesz się ich użyć, dla każdego dodatku z osobna można wybrać czy ma być użyty i z jakim prawdopodobieństwem ma się pojawić (podpowiedź: 100% = wymuszenie). Kapitole oryginalnie są używane wyłącznie na planszach Wyroczni i Przystani, ale można też zdecydować o losowaniu ich dla wszystkich plansz.</t>
  </si>
  <si>
    <t>You can choose to turn Queenies completely off. If you do choose to use them, there are options to turn each of them on or off and set the probability of it being used (hint: 100% to force). Capitols were designed to be used for Oracle and Harbour boards only in original, but this can also be overridden with one of the settings.</t>
  </si>
  <si>
    <t>Aby wczytać zapisane ustawienie, wybierz jedno z listy rozwijanej i naciśnij "wczytaj".</t>
  </si>
  <si>
    <t>Aby usunąć zapisane ustawienie, wybierz jedno z listy rozwijanej i naciśnij "usuń".</t>
  </si>
  <si>
    <t>Aby zaimportować ustawienie, wklej je (albo wpisz, jeśli Ci się nudzi) w odpowiednie szare pole i naciśnij "importuj".</t>
  </si>
  <si>
    <t>Aby zapisać ustawienie, wpisz pożądaną nazwę w odpowiednie szare pole i naciśnij "zapisz", a następnie zastosuj się do komunikatów, jeśli jakieś się pojawią (w przypadku błędu).</t>
  </si>
  <si>
    <t>To save a preset, enter its name in the appropriate gray box and press "save", then follow prompts if any appear (they won't unless there's a problem).</t>
  </si>
  <si>
    <t>Aby wyeskportować zapisane ustawienie, wybierz je z listy rozwijanej i naciśnij "eksportuj". Dane zostaną wygenerowane do pola wpisu do importowania - wystarczy je skopiować i wkleić gdzie indziej, aby podzielić się ustawieniem.</t>
  </si>
  <si>
    <t>Arkusz główny (KB randomizer)</t>
  </si>
  <si>
    <t>Wszystko powinno być łatwe do zrozumienia, ale kilka wartych zauważenia rzeczy poniżej:</t>
  </si>
  <si>
    <t>Plansze stanowią reprezentację całego obszaru gry, to jest wskazują z którego dodatku pochodzą, jakie lokacje zawierają, jakie dodatki Queenie mają być na nich użyte i jakie lokacje Nomadów zostały dla nich wylosowane (jeśli ma to zastosowanie i nie zostało wyłączone w opcjach). Strzałka obok pola z opisem planszy wskazuje czy ma ona być umieszczona normalnie, czy też do góry nogami.</t>
  </si>
  <si>
    <t>Jeśli wylosowany zostanie dodatek Queenie Wyspa, pojawi się ona na prawo od planszy głównej, ze wskazaniem strony, która ma zostać użyta.</t>
  </si>
  <si>
    <t>Naciśnięcie "losuj ponownie" każdorazowo zrobi właśnie to, zgodnie z wybranymi opcjami. Jeśli opcje zostały ustawiony w sposób, który uniemożliwia wygenerowanie układu plansz, pojawi się odpowiedni komunikat. Nazwa kategorii opcji, w której znajdują się błedy zmieni ponadto kolor na czerwony.</t>
  </si>
  <si>
    <r>
      <t xml:space="preserve">Jeśli czegokolwiek brakuje w tej instrukcji, śmiało pytaj - kontakt możliwy zgodnie z opisem w zakładce </t>
    </r>
    <r>
      <rPr>
        <b/>
        <sz val="11"/>
        <color theme="1"/>
        <rFont val="Calibri"/>
        <family val="2"/>
        <charset val="238"/>
      </rPr>
      <t>About</t>
    </r>
    <r>
      <rPr>
        <sz val="11"/>
        <color theme="1"/>
        <rFont val="Calibri"/>
        <family val="2"/>
        <charset val="238"/>
      </rPr>
      <t>.</t>
    </r>
  </si>
  <si>
    <t>?</t>
  </si>
  <si>
    <t>Hi! Thanks for helping me make this tool better. There are a few tips in the box below. Have fun and let me know if you have a translation ready to be added to the official release :) Good luck!</t>
  </si>
  <si>
    <t>You can hide the Polish column if you want.
You can choose your language in Options as soon as you type in its name, but the program may misbehave until you fill in everything (it won't break though).
Don't forget to give yourself credit in the Translator's notes!</t>
  </si>
  <si>
    <t>"Donation" skipped for a shorter name that fits in the display box</t>
  </si>
  <si>
    <t>04000000000800000000300000000031000000001007080000009803500000.1</t>
  </si>
  <si>
    <t>The original file posted on BoardGameGeek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</si>
</sst>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quot;%&quot;"/>
  </numFmts>
  <fonts count="38"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b/>
      <sz val="11"/>
      <color theme="1"/>
      <name val="Calibri"/>
      <family val="2"/>
      <charset val="238"/>
      <scheme val="minor"/>
    </font>
    <font>
      <sz val="11"/>
      <color rgb="FFFF0000"/>
      <name val="Calibri"/>
      <family val="2"/>
      <scheme val="minor"/>
    </font>
    <font>
      <sz val="11"/>
      <name val="Calibri"/>
      <family val="2"/>
      <scheme val="minor"/>
    </font>
    <font>
      <sz val="11"/>
      <color rgb="FF000000"/>
      <name val="Calibri"/>
      <family val="2"/>
      <charset val="238"/>
      <scheme val="minor"/>
    </font>
    <font>
      <sz val="16"/>
      <color rgb="FFFF0000"/>
      <name val="Calibri"/>
      <family val="2"/>
      <scheme val="minor"/>
    </font>
    <font>
      <b/>
      <sz val="16"/>
      <color theme="1"/>
      <name val="Calibri"/>
      <family val="2"/>
      <charset val="238"/>
      <scheme val="minor"/>
    </font>
    <font>
      <b/>
      <sz val="9"/>
      <color theme="1"/>
      <name val="Calibri"/>
      <family val="2"/>
      <charset val="238"/>
      <scheme val="minor"/>
    </font>
    <font>
      <sz val="11"/>
      <color theme="4" tint="-0.249977111117893"/>
      <name val="Calibri"/>
      <family val="2"/>
      <charset val="238"/>
      <scheme val="minor"/>
    </font>
    <font>
      <b/>
      <sz val="11"/>
      <color theme="1"/>
      <name val="Calibri"/>
      <family val="2"/>
      <charset val="238"/>
    </font>
    <font>
      <b/>
      <sz val="11"/>
      <color rgb="FFFF0000"/>
      <name val="Calibri"/>
      <family val="2"/>
      <charset val="238"/>
      <scheme val="minor"/>
    </font>
    <font>
      <u/>
      <sz val="11"/>
      <color theme="10"/>
      <name val="Calibri"/>
      <family val="2"/>
      <scheme val="minor"/>
    </font>
    <font>
      <u/>
      <sz val="11"/>
      <name val="Calibri"/>
      <family val="2"/>
      <scheme val="minor"/>
    </font>
    <font>
      <b/>
      <sz val="12"/>
      <color theme="1"/>
      <name val="Calibri"/>
      <family val="2"/>
      <charset val="238"/>
      <scheme val="minor"/>
    </font>
    <font>
      <b/>
      <sz val="18"/>
      <color theme="1"/>
      <name val="Calibri"/>
      <family val="2"/>
      <charset val="238"/>
      <scheme val="minor"/>
    </font>
    <font>
      <sz val="11"/>
      <color theme="1"/>
      <name val="Calibri"/>
      <family val="2"/>
      <scheme val="minor"/>
    </font>
    <font>
      <b/>
      <sz val="11"/>
      <color theme="0"/>
      <name val="Calibri"/>
      <family val="2"/>
      <charset val="238"/>
      <scheme val="minor"/>
    </font>
    <font>
      <b/>
      <u/>
      <sz val="16"/>
      <color theme="1"/>
      <name val="Calibri"/>
      <family val="2"/>
      <charset val="238"/>
      <scheme val="minor"/>
    </font>
    <font>
      <sz val="14"/>
      <color theme="1"/>
      <name val="Calibri"/>
      <family val="2"/>
      <scheme val="minor"/>
    </font>
    <font>
      <sz val="11"/>
      <color theme="0"/>
      <name val="Calibri"/>
      <family val="2"/>
      <scheme val="minor"/>
    </font>
    <font>
      <sz val="11"/>
      <color theme="0" tint="-0.14999847407452621"/>
      <name val="Calibri"/>
      <family val="2"/>
      <scheme val="minor"/>
    </font>
    <font>
      <b/>
      <sz val="11"/>
      <color theme="4" tint="0.39997558519241921"/>
      <name val="Calibri"/>
      <family val="2"/>
      <charset val="238"/>
      <scheme val="minor"/>
    </font>
    <font>
      <u/>
      <sz val="11"/>
      <color theme="0"/>
      <name val="Calibri"/>
      <family val="2"/>
      <scheme val="minor"/>
    </font>
    <font>
      <u/>
      <sz val="11"/>
      <color theme="0" tint="-0.14999847407452621"/>
      <name val="Calibri"/>
      <family val="2"/>
      <scheme val="minor"/>
    </font>
    <font>
      <sz val="14"/>
      <color rgb="FF000000"/>
      <name val="Calibri"/>
      <family val="2"/>
      <charset val="238"/>
      <scheme val="minor"/>
    </font>
    <font>
      <b/>
      <sz val="12"/>
      <color rgb="FFFF0000"/>
      <name val="Calibri"/>
      <family val="2"/>
      <charset val="238"/>
      <scheme val="minor"/>
    </font>
    <font>
      <b/>
      <sz val="11"/>
      <color rgb="FFFFFF00"/>
      <name val="Calibri"/>
      <family val="2"/>
      <charset val="238"/>
      <scheme val="minor"/>
    </font>
    <font>
      <sz val="9"/>
      <color indexed="81"/>
      <name val="Tahoma"/>
      <family val="2"/>
      <charset val="238"/>
    </font>
    <font>
      <b/>
      <sz val="9"/>
      <color indexed="81"/>
      <name val="Tahoma"/>
      <family val="2"/>
      <charset val="238"/>
    </font>
    <font>
      <sz val="11"/>
      <color theme="5"/>
      <name val="Calibri"/>
      <family val="2"/>
      <scheme val="minor"/>
    </font>
    <font>
      <b/>
      <sz val="9"/>
      <name val="Calibri"/>
      <family val="2"/>
      <charset val="238"/>
      <scheme val="minor"/>
    </font>
    <font>
      <sz val="12"/>
      <color theme="1"/>
      <name val="Calibri"/>
      <family val="2"/>
      <charset val="238"/>
      <scheme val="minor"/>
    </font>
    <font>
      <sz val="11"/>
      <color theme="1"/>
      <name val="Calibri"/>
      <family val="2"/>
      <charset val="238"/>
    </font>
    <font>
      <sz val="11"/>
      <name val="Calibri"/>
      <family val="2"/>
      <charset val="238"/>
      <scheme val="minor"/>
    </font>
  </fonts>
  <fills count="26">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4B4B"/>
        <bgColor indexed="64"/>
      </patternFill>
    </fill>
    <fill>
      <patternFill patternType="solid">
        <fgColor rgb="FFFF8B8B"/>
        <bgColor indexed="64"/>
      </patternFill>
    </fill>
    <fill>
      <patternFill patternType="solid">
        <fgColor theme="9" tint="0.39997558519241921"/>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rgb="FFFF00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right/>
      <top/>
      <bottom style="thick">
        <color auto="1"/>
      </bottom>
      <diagonal/>
    </border>
    <border>
      <left/>
      <right style="thick">
        <color auto="1"/>
      </right>
      <top/>
      <bottom/>
      <diagonal/>
    </border>
    <border>
      <left style="thick">
        <color auto="1"/>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double">
        <color indexed="64"/>
      </top>
      <bottom style="double">
        <color indexed="64"/>
      </bottom>
      <diagonal/>
    </border>
    <border>
      <left style="thin">
        <color indexed="64"/>
      </left>
      <right/>
      <top/>
      <bottom/>
      <diagonal/>
    </border>
  </borders>
  <cellStyleXfs count="3">
    <xf numFmtId="0" fontId="0" fillId="0" borderId="0"/>
    <xf numFmtId="0" fontId="15" fillId="0" borderId="0" applyNumberFormat="0" applyFill="0" applyBorder="0" applyAlignment="0" applyProtection="0"/>
    <xf numFmtId="9" fontId="19" fillId="0" borderId="0" applyFont="0" applyFill="0" applyBorder="0" applyAlignment="0" applyProtection="0"/>
  </cellStyleXfs>
  <cellXfs count="262">
    <xf numFmtId="0" fontId="0" fillId="0" borderId="0" xfId="0"/>
    <xf numFmtId="0" fontId="0" fillId="0" borderId="0" xfId="0" applyAlignment="1">
      <alignment horizontal="center"/>
    </xf>
    <xf numFmtId="0" fontId="0" fillId="0" borderId="0" xfId="0" applyFont="1"/>
    <xf numFmtId="0" fontId="0" fillId="0" borderId="1" xfId="0" applyBorder="1"/>
    <xf numFmtId="0" fontId="0" fillId="0" borderId="0" xfId="0" applyBorder="1"/>
    <xf numFmtId="0" fontId="0" fillId="0" borderId="0" xfId="0" applyBorder="1" applyAlignment="1"/>
    <xf numFmtId="0" fontId="0" fillId="0" borderId="0" xfId="0" applyFill="1" applyBorder="1"/>
    <xf numFmtId="0" fontId="0" fillId="2" borderId="1" xfId="0" applyFill="1" applyBorder="1"/>
    <xf numFmtId="0" fontId="0" fillId="2" borderId="0" xfId="0" applyFill="1" applyBorder="1"/>
    <xf numFmtId="0" fontId="0" fillId="2" borderId="0" xfId="0" applyFill="1"/>
    <xf numFmtId="0" fontId="5" fillId="0" borderId="0" xfId="0" applyFont="1" applyBorder="1"/>
    <xf numFmtId="0" fontId="0" fillId="0" borderId="1" xfId="0" applyBorder="1" applyAlignment="1"/>
    <xf numFmtId="0" fontId="0" fillId="3" borderId="0" xfId="0" applyFill="1" applyBorder="1" applyAlignment="1"/>
    <xf numFmtId="0" fontId="0" fillId="3" borderId="0" xfId="0" applyFill="1" applyBorder="1" applyAlignment="1">
      <alignment horizontal="center"/>
    </xf>
    <xf numFmtId="0" fontId="0" fillId="3" borderId="1" xfId="0" applyFill="1" applyBorder="1" applyAlignment="1">
      <alignment horizontal="center"/>
    </xf>
    <xf numFmtId="0" fontId="0" fillId="3" borderId="1" xfId="0" applyFill="1" applyBorder="1"/>
    <xf numFmtId="0" fontId="0" fillId="3" borderId="0" xfId="0" applyFill="1" applyBorder="1"/>
    <xf numFmtId="0" fontId="0" fillId="3" borderId="1" xfId="0" applyFont="1" applyFill="1" applyBorder="1"/>
    <xf numFmtId="0" fontId="6" fillId="0" borderId="0" xfId="0" applyFont="1"/>
    <xf numFmtId="0" fontId="0" fillId="3" borderId="0" xfId="0" applyFill="1"/>
    <xf numFmtId="0" fontId="0" fillId="0" borderId="1" xfId="0" applyBorder="1" applyAlignment="1">
      <alignment horizontal="center"/>
    </xf>
    <xf numFmtId="0" fontId="0" fillId="4" borderId="1" xfId="0" applyFill="1" applyBorder="1"/>
    <xf numFmtId="0" fontId="0" fillId="6" borderId="1" xfId="0" applyFill="1" applyBorder="1"/>
    <xf numFmtId="0" fontId="0" fillId="7" borderId="1" xfId="0" applyFill="1" applyBorder="1" applyAlignment="1"/>
    <xf numFmtId="0" fontId="0" fillId="7" borderId="1" xfId="0" applyFill="1" applyBorder="1"/>
    <xf numFmtId="0" fontId="0" fillId="8" borderId="1" xfId="0" applyFill="1" applyBorder="1"/>
    <xf numFmtId="0" fontId="7" fillId="6" borderId="1" xfId="0" applyFont="1" applyFill="1" applyBorder="1"/>
    <xf numFmtId="0" fontId="0" fillId="0" borderId="0" xfId="0" applyFill="1"/>
    <xf numFmtId="0" fontId="0" fillId="0" borderId="1" xfId="0" applyBorder="1" applyAlignment="1">
      <alignment horizontal="center"/>
    </xf>
    <xf numFmtId="0" fontId="0" fillId="9" borderId="1" xfId="0" applyFill="1" applyBorder="1"/>
    <xf numFmtId="0" fontId="0" fillId="0" borderId="0" xfId="0" applyBorder="1" applyAlignment="1">
      <alignment horizontal="right"/>
    </xf>
    <xf numFmtId="0" fontId="0" fillId="0" borderId="0" xfId="0" applyFill="1" applyBorder="1" applyAlignment="1">
      <alignment horizontal="right"/>
    </xf>
    <xf numFmtId="0" fontId="0" fillId="12" borderId="1" xfId="0" applyFill="1" applyBorder="1"/>
    <xf numFmtId="0" fontId="0" fillId="13" borderId="0" xfId="0" applyFill="1"/>
    <xf numFmtId="0" fontId="10" fillId="13" borderId="0" xfId="0" applyFont="1" applyFill="1"/>
    <xf numFmtId="0" fontId="8" fillId="13" borderId="0" xfId="0" applyFont="1" applyFill="1" applyBorder="1"/>
    <xf numFmtId="0" fontId="6" fillId="2" borderId="1" xfId="0" applyFont="1" applyFill="1" applyBorder="1"/>
    <xf numFmtId="0" fontId="6" fillId="2" borderId="1" xfId="0" applyFont="1" applyFill="1" applyBorder="1" applyAlignment="1"/>
    <xf numFmtId="0" fontId="14" fillId="0" borderId="0" xfId="0" applyFont="1" applyAlignment="1">
      <alignment horizontal="left"/>
    </xf>
    <xf numFmtId="0" fontId="0" fillId="0" borderId="0" xfId="0" applyAlignment="1">
      <alignment wrapText="1"/>
    </xf>
    <xf numFmtId="0" fontId="0" fillId="13" borderId="0" xfId="0" applyFill="1" applyAlignment="1">
      <alignment vertical="center"/>
    </xf>
    <xf numFmtId="0" fontId="0" fillId="0" borderId="0" xfId="0" applyAlignment="1">
      <alignment vertical="center"/>
    </xf>
    <xf numFmtId="0" fontId="0" fillId="0" borderId="1" xfId="0" applyBorder="1" applyAlignment="1">
      <alignment horizontal="center"/>
    </xf>
    <xf numFmtId="0" fontId="17" fillId="13" borderId="0" xfId="0" applyFont="1" applyFill="1" applyBorder="1" applyAlignment="1">
      <alignment horizontal="left" vertical="center" wrapText="1" indent="3"/>
    </xf>
    <xf numFmtId="0" fontId="0" fillId="0" borderId="1" xfId="0" applyBorder="1" applyAlignment="1">
      <alignment vertical="center" wrapText="1"/>
    </xf>
    <xf numFmtId="0" fontId="10" fillId="13" borderId="0" xfId="0" applyFont="1" applyFill="1" applyAlignment="1">
      <alignment vertical="top"/>
    </xf>
    <xf numFmtId="0" fontId="0" fillId="15" borderId="1" xfId="0" applyFill="1" applyBorder="1"/>
    <xf numFmtId="0" fontId="8" fillId="0" borderId="0" xfId="0" applyFont="1" applyFill="1" applyBorder="1"/>
    <xf numFmtId="0" fontId="21" fillId="13" borderId="0" xfId="0" applyFont="1" applyFill="1"/>
    <xf numFmtId="9" fontId="0" fillId="0" borderId="0" xfId="0" applyNumberFormat="1"/>
    <xf numFmtId="9" fontId="0" fillId="9" borderId="1" xfId="0" applyNumberFormat="1" applyFill="1" applyBorder="1"/>
    <xf numFmtId="0" fontId="14" fillId="3" borderId="0" xfId="0" applyFont="1" applyFill="1"/>
    <xf numFmtId="3" fontId="0" fillId="0" borderId="0" xfId="0" applyNumberFormat="1"/>
    <xf numFmtId="16" fontId="0" fillId="0" borderId="0" xfId="0" quotePrefix="1" applyNumberFormat="1"/>
    <xf numFmtId="49" fontId="0" fillId="0" borderId="0" xfId="0" applyNumberFormat="1" applyAlignment="1">
      <alignment horizontal="center"/>
    </xf>
    <xf numFmtId="49" fontId="0" fillId="0" borderId="0" xfId="0" applyNumberFormat="1"/>
    <xf numFmtId="0" fontId="0" fillId="0" borderId="0" xfId="0" applyNumberFormat="1"/>
    <xf numFmtId="0" fontId="0" fillId="0" borderId="0" xfId="0" applyNumberFormat="1" applyAlignment="1">
      <alignment horizontal="center"/>
    </xf>
    <xf numFmtId="0" fontId="4" fillId="0" borderId="0" xfId="0" applyFont="1" applyAlignment="1">
      <alignment vertical="center"/>
    </xf>
    <xf numFmtId="0" fontId="8" fillId="0" borderId="0" xfId="0" applyFont="1" applyFill="1" applyBorder="1" applyAlignment="1"/>
    <xf numFmtId="49" fontId="0" fillId="0" borderId="0" xfId="0" applyNumberFormat="1" applyAlignment="1">
      <alignment horizontal="left"/>
    </xf>
    <xf numFmtId="0" fontId="0" fillId="0" borderId="0" xfId="0" applyNumberFormat="1" applyAlignment="1">
      <alignment horizontal="left"/>
    </xf>
    <xf numFmtId="0" fontId="0" fillId="13" borderId="0" xfId="0" applyFill="1" applyAlignment="1">
      <alignment horizontal="left" vertical="center" wrapText="1" indent="1"/>
    </xf>
    <xf numFmtId="0" fontId="3" fillId="0" borderId="0" xfId="0" applyFont="1" applyFill="1"/>
    <xf numFmtId="0" fontId="0" fillId="4" borderId="0" xfId="0" applyFill="1"/>
    <xf numFmtId="0" fontId="0" fillId="4" borderId="0" xfId="0" applyFill="1" applyAlignment="1">
      <alignment vertical="center"/>
    </xf>
    <xf numFmtId="16" fontId="0" fillId="4" borderId="0" xfId="0" quotePrefix="1" applyNumberFormat="1" applyFill="1"/>
    <xf numFmtId="0" fontId="0" fillId="0" borderId="0" xfId="0" applyAlignment="1">
      <alignment horizontal="left"/>
    </xf>
    <xf numFmtId="0" fontId="0" fillId="0" borderId="0" xfId="0" applyFill="1" applyBorder="1" applyAlignment="1">
      <alignment horizontal="center"/>
    </xf>
    <xf numFmtId="0" fontId="11" fillId="11" borderId="9" xfId="0" applyFont="1" applyFill="1" applyBorder="1" applyAlignment="1">
      <alignment horizontal="center" vertical="center" wrapText="1"/>
    </xf>
    <xf numFmtId="0" fontId="0" fillId="13" borderId="0" xfId="0" applyFill="1" applyAlignment="1">
      <alignment wrapText="1"/>
    </xf>
    <xf numFmtId="0" fontId="11" fillId="13" borderId="0" xfId="0" applyFont="1" applyFill="1" applyBorder="1" applyAlignment="1">
      <alignment horizontal="center" vertical="center" wrapText="1"/>
    </xf>
    <xf numFmtId="0" fontId="16" fillId="13" borderId="0" xfId="1" applyFont="1" applyFill="1" applyAlignment="1">
      <alignment horizontal="right" wrapText="1"/>
    </xf>
    <xf numFmtId="0" fontId="5" fillId="13" borderId="0" xfId="0" applyFont="1" applyFill="1" applyBorder="1" applyAlignment="1">
      <alignment horizontal="center"/>
    </xf>
    <xf numFmtId="0" fontId="0" fillId="13" borderId="0" xfId="0" applyFill="1" applyBorder="1" applyAlignment="1">
      <alignment horizontal="center" vertical="center"/>
    </xf>
    <xf numFmtId="0" fontId="17" fillId="13" borderId="0" xfId="0" applyFont="1" applyFill="1" applyAlignment="1">
      <alignment horizontal="left" vertical="center"/>
    </xf>
    <xf numFmtId="0" fontId="20" fillId="17" borderId="1" xfId="0" applyFont="1" applyFill="1" applyBorder="1"/>
    <xf numFmtId="0" fontId="20" fillId="17" borderId="1" xfId="0" applyFont="1" applyFill="1" applyBorder="1" applyAlignment="1">
      <alignment horizontal="center"/>
    </xf>
    <xf numFmtId="0" fontId="20" fillId="17" borderId="1" xfId="0" applyFont="1" applyFill="1" applyBorder="1" applyAlignment="1">
      <alignment horizontal="right" indent="1"/>
    </xf>
    <xf numFmtId="0" fontId="0" fillId="13" borderId="18" xfId="0" applyFill="1" applyBorder="1"/>
    <xf numFmtId="0" fontId="0" fillId="0" borderId="18" xfId="0" applyBorder="1"/>
    <xf numFmtId="0" fontId="0" fillId="13" borderId="18" xfId="0" applyFill="1" applyBorder="1" applyAlignment="1">
      <alignment wrapText="1"/>
    </xf>
    <xf numFmtId="0" fontId="6" fillId="13" borderId="0" xfId="0" applyFont="1" applyFill="1"/>
    <xf numFmtId="0" fontId="6" fillId="13" borderId="18" xfId="0" applyFont="1" applyFill="1" applyBorder="1"/>
    <xf numFmtId="0" fontId="6" fillId="13" borderId="0" xfId="0" applyFont="1" applyFill="1" applyAlignment="1">
      <alignment vertical="center"/>
    </xf>
    <xf numFmtId="0" fontId="0" fillId="4" borderId="18" xfId="0" applyFill="1" applyBorder="1"/>
    <xf numFmtId="0" fontId="21" fillId="13" borderId="0" xfId="0" applyFont="1" applyFill="1" applyAlignment="1">
      <alignment vertical="center"/>
    </xf>
    <xf numFmtId="0" fontId="23" fillId="13" borderId="0" xfId="0" applyFont="1" applyFill="1"/>
    <xf numFmtId="0" fontId="20" fillId="17" borderId="10" xfId="0" applyFont="1" applyFill="1" applyBorder="1" applyAlignment="1">
      <alignment horizontal="center"/>
    </xf>
    <xf numFmtId="0" fontId="25" fillId="17" borderId="1" xfId="0" applyFont="1" applyFill="1" applyBorder="1" applyAlignment="1">
      <alignment horizontal="center"/>
    </xf>
    <xf numFmtId="0" fontId="5" fillId="10" borderId="1" xfId="0" applyFont="1" applyFill="1" applyBorder="1" applyAlignment="1">
      <alignment vertical="center" wrapText="1"/>
    </xf>
    <xf numFmtId="0" fontId="0" fillId="13" borderId="0" xfId="0" applyFill="1" applyAlignment="1">
      <alignment vertical="center" wrapText="1"/>
    </xf>
    <xf numFmtId="0" fontId="17" fillId="13" borderId="0" xfId="0" applyFont="1" applyFill="1" applyAlignment="1">
      <alignment vertical="center"/>
    </xf>
    <xf numFmtId="0" fontId="5" fillId="13" borderId="0" xfId="0" applyFont="1" applyFill="1" applyBorder="1" applyAlignment="1">
      <alignment horizontal="left" vertical="center" wrapText="1"/>
    </xf>
    <xf numFmtId="0" fontId="26" fillId="13" borderId="0" xfId="1" applyFont="1" applyFill="1" applyAlignment="1">
      <alignment horizontal="right" wrapText="1"/>
    </xf>
    <xf numFmtId="0" fontId="6" fillId="4" borderId="18" xfId="0" applyFont="1" applyFill="1" applyBorder="1"/>
    <xf numFmtId="0" fontId="0" fillId="4" borderId="18" xfId="0" applyFill="1" applyBorder="1" applyAlignment="1">
      <alignment wrapText="1"/>
    </xf>
    <xf numFmtId="0" fontId="0" fillId="4" borderId="19" xfId="0" applyFill="1" applyBorder="1"/>
    <xf numFmtId="0" fontId="24" fillId="4" borderId="0" xfId="0" applyFont="1" applyFill="1"/>
    <xf numFmtId="0" fontId="27" fillId="4" borderId="0" xfId="1" applyFont="1" applyFill="1" applyAlignment="1">
      <alignment horizontal="right" wrapText="1"/>
    </xf>
    <xf numFmtId="0" fontId="24" fillId="4" borderId="0" xfId="0" applyFont="1" applyFill="1" applyBorder="1"/>
    <xf numFmtId="0" fontId="6" fillId="4" borderId="0" xfId="0" applyFont="1" applyFill="1"/>
    <xf numFmtId="0" fontId="0" fillId="4" borderId="0" xfId="0" applyFill="1" applyAlignment="1">
      <alignment wrapText="1"/>
    </xf>
    <xf numFmtId="0" fontId="8" fillId="4" borderId="0" xfId="0" applyFont="1" applyFill="1" applyBorder="1"/>
    <xf numFmtId="0" fontId="28" fillId="13" borderId="0" xfId="0" applyFont="1" applyFill="1" applyBorder="1" applyAlignment="1">
      <alignment vertical="center"/>
    </xf>
    <xf numFmtId="0" fontId="17" fillId="13" borderId="0" xfId="0" applyFont="1" applyFill="1" applyBorder="1" applyAlignment="1">
      <alignment horizontal="center" vertical="center" wrapText="1"/>
    </xf>
    <xf numFmtId="0" fontId="0" fillId="13" borderId="0" xfId="0" applyFill="1" applyBorder="1" applyAlignment="1">
      <alignment horizontal="left" vertical="center" wrapText="1"/>
    </xf>
    <xf numFmtId="0" fontId="29" fillId="13" borderId="0" xfId="0" applyFont="1" applyFill="1" applyAlignment="1">
      <alignment vertical="center"/>
    </xf>
    <xf numFmtId="0" fontId="11" fillId="20" borderId="9" xfId="0" applyFont="1" applyFill="1" applyBorder="1" applyAlignment="1">
      <alignment horizontal="center" vertical="center" wrapText="1"/>
    </xf>
    <xf numFmtId="0" fontId="24" fillId="4" borderId="20" xfId="0" applyFont="1" applyFill="1" applyBorder="1"/>
    <xf numFmtId="0" fontId="14" fillId="3" borderId="1" xfId="0" applyFont="1" applyFill="1" applyBorder="1"/>
    <xf numFmtId="0" fontId="5" fillId="0" borderId="0" xfId="0" applyFont="1"/>
    <xf numFmtId="3" fontId="5" fillId="0" borderId="0" xfId="0" quotePrefix="1" applyNumberFormat="1" applyFont="1"/>
    <xf numFmtId="0" fontId="9" fillId="0" borderId="0" xfId="0" applyFont="1" applyFill="1" applyBorder="1" applyAlignment="1">
      <alignment horizontal="center"/>
    </xf>
    <xf numFmtId="0" fontId="0" fillId="0" borderId="0" xfId="0" quotePrefix="1" applyAlignment="1">
      <alignment vertical="center"/>
    </xf>
    <xf numFmtId="0" fontId="0" fillId="13" borderId="0" xfId="0" applyFill="1" applyBorder="1" applyAlignment="1">
      <alignment wrapText="1"/>
    </xf>
    <xf numFmtId="0" fontId="17" fillId="12" borderId="14" xfId="0" applyFont="1" applyFill="1" applyBorder="1" applyAlignment="1">
      <alignment horizontal="center" vertical="center" wrapText="1"/>
    </xf>
    <xf numFmtId="0" fontId="23" fillId="13" borderId="18" xfId="0" applyFont="1" applyFill="1" applyBorder="1"/>
    <xf numFmtId="0" fontId="23" fillId="13" borderId="0" xfId="0" quotePrefix="1" applyFont="1" applyFill="1"/>
    <xf numFmtId="0" fontId="24" fillId="4" borderId="18" xfId="0" applyFont="1" applyFill="1" applyBorder="1"/>
    <xf numFmtId="0" fontId="0" fillId="10" borderId="1" xfId="0" applyFill="1" applyBorder="1"/>
    <xf numFmtId="0" fontId="0" fillId="10" borderId="0" xfId="0" applyFill="1"/>
    <xf numFmtId="0" fontId="0" fillId="15" borderId="0" xfId="0" applyFill="1"/>
    <xf numFmtId="0" fontId="0" fillId="8" borderId="0" xfId="0" applyFill="1"/>
    <xf numFmtId="0" fontId="0" fillId="0" borderId="0" xfId="0" applyAlignment="1">
      <alignment horizontal="right"/>
    </xf>
    <xf numFmtId="0" fontId="0" fillId="22" borderId="1" xfId="0" applyFill="1" applyBorder="1"/>
    <xf numFmtId="0" fontId="18" fillId="14" borderId="16" xfId="0" applyFont="1" applyFill="1" applyBorder="1" applyAlignment="1">
      <alignment horizontal="center" wrapText="1"/>
    </xf>
    <xf numFmtId="0" fontId="5" fillId="4" borderId="6" xfId="0" applyFont="1" applyFill="1" applyBorder="1" applyAlignment="1">
      <alignment horizontal="center" wrapText="1"/>
    </xf>
    <xf numFmtId="0" fontId="18" fillId="9" borderId="1" xfId="0" applyFont="1" applyFill="1" applyBorder="1" applyAlignment="1">
      <alignment horizontal="center" wrapText="1"/>
    </xf>
    <xf numFmtId="0" fontId="0" fillId="0" borderId="0" xfId="0" applyAlignment="1">
      <alignment horizontal="center" wrapText="1"/>
    </xf>
    <xf numFmtId="0" fontId="30" fillId="24" borderId="1" xfId="0" applyFont="1" applyFill="1" applyBorder="1" applyAlignment="1">
      <alignment horizontal="center" wrapText="1"/>
    </xf>
    <xf numFmtId="0" fontId="30" fillId="23" borderId="1" xfId="0" applyFont="1" applyFill="1" applyBorder="1" applyAlignment="1">
      <alignment horizontal="center" wrapText="1"/>
    </xf>
    <xf numFmtId="0" fontId="30" fillId="23" borderId="1" xfId="0" applyFont="1" applyFill="1" applyBorder="1" applyAlignment="1">
      <alignment horizontal="center" vertical="center" wrapText="1"/>
    </xf>
    <xf numFmtId="0" fontId="18" fillId="14" borderId="1" xfId="0" applyFont="1" applyFill="1" applyBorder="1" applyAlignment="1">
      <alignment horizontal="center" wrapText="1"/>
    </xf>
    <xf numFmtId="0" fontId="0" fillId="4" borderId="1" xfId="0" applyFill="1" applyBorder="1" applyAlignment="1">
      <alignment wrapText="1"/>
    </xf>
    <xf numFmtId="0" fontId="3" fillId="0" borderId="1" xfId="0" applyFont="1" applyFill="1" applyBorder="1" applyAlignment="1">
      <alignment wrapText="1"/>
    </xf>
    <xf numFmtId="0" fontId="0" fillId="0" borderId="1" xfId="0" applyBorder="1" applyAlignment="1">
      <alignment wrapText="1"/>
    </xf>
    <xf numFmtId="0" fontId="0" fillId="3" borderId="1" xfId="0" applyFill="1" applyBorder="1" applyAlignment="1">
      <alignment wrapText="1"/>
    </xf>
    <xf numFmtId="0" fontId="0" fillId="13" borderId="1" xfId="0" applyFill="1" applyBorder="1" applyAlignment="1">
      <alignment wrapText="1"/>
    </xf>
    <xf numFmtId="0" fontId="0" fillId="25" borderId="6" xfId="0" applyFill="1" applyBorder="1" applyAlignment="1">
      <alignment horizontal="center" wrapText="1"/>
    </xf>
    <xf numFmtId="0" fontId="30" fillId="25" borderId="1" xfId="0" applyFont="1" applyFill="1" applyBorder="1" applyAlignment="1">
      <alignment horizontal="center" wrapText="1"/>
    </xf>
    <xf numFmtId="0" fontId="0" fillId="25" borderId="1" xfId="0" applyFill="1" applyBorder="1" applyAlignment="1">
      <alignment wrapText="1"/>
    </xf>
    <xf numFmtId="0" fontId="0" fillId="25" borderId="0" xfId="0" applyFill="1"/>
    <xf numFmtId="0" fontId="34" fillId="11" borderId="9" xfId="0" applyFont="1" applyFill="1" applyBorder="1" applyAlignment="1">
      <alignment horizontal="center" vertical="center" wrapText="1"/>
    </xf>
    <xf numFmtId="0" fontId="33" fillId="13" borderId="0" xfId="0" applyFont="1" applyFill="1"/>
    <xf numFmtId="0" fontId="35" fillId="13" borderId="0" xfId="0" applyFont="1" applyFill="1" applyBorder="1" applyAlignment="1">
      <alignment horizontal="left" vertical="center"/>
    </xf>
    <xf numFmtId="0" fontId="10" fillId="13" borderId="0" xfId="0" applyFont="1" applyFill="1" applyAlignment="1">
      <alignment horizontal="left" vertical="center"/>
    </xf>
    <xf numFmtId="0" fontId="1" fillId="4" borderId="18" xfId="0" applyFont="1" applyFill="1" applyBorder="1" applyAlignment="1">
      <alignment horizontal="left"/>
    </xf>
    <xf numFmtId="0" fontId="1" fillId="13" borderId="0" xfId="0" applyFont="1" applyFill="1" applyAlignment="1">
      <alignment horizontal="left"/>
    </xf>
    <xf numFmtId="0" fontId="1" fillId="0" borderId="0" xfId="0" applyFont="1" applyAlignment="1">
      <alignment horizontal="left"/>
    </xf>
    <xf numFmtId="0" fontId="15" fillId="13" borderId="0" xfId="1" applyFill="1" applyBorder="1" applyAlignment="1">
      <alignment horizontal="left" vertical="center"/>
    </xf>
    <xf numFmtId="0" fontId="1" fillId="4" borderId="0" xfId="0" applyFont="1" applyFill="1" applyAlignment="1">
      <alignment horizontal="left"/>
    </xf>
    <xf numFmtId="0" fontId="35" fillId="13" borderId="0" xfId="0" applyFont="1" applyFill="1" applyBorder="1" applyAlignment="1">
      <alignment vertical="top" wrapText="1"/>
    </xf>
    <xf numFmtId="0" fontId="0" fillId="12" borderId="1" xfId="0" applyFill="1" applyBorder="1" applyAlignment="1" applyProtection="1">
      <alignment horizontal="center" vertical="center"/>
      <protection locked="0"/>
    </xf>
    <xf numFmtId="0" fontId="0" fillId="12" borderId="1" xfId="0" applyFill="1" applyBorder="1" applyAlignment="1" applyProtection="1">
      <alignment vertical="center"/>
      <protection locked="0"/>
    </xf>
    <xf numFmtId="0" fontId="0" fillId="12" borderId="10" xfId="0" applyFill="1" applyBorder="1" applyAlignment="1" applyProtection="1">
      <alignment horizontal="center" vertical="center"/>
      <protection locked="0"/>
    </xf>
    <xf numFmtId="164" fontId="0" fillId="12" borderId="1" xfId="2" applyNumberFormat="1" applyFont="1" applyFill="1" applyBorder="1" applyAlignment="1" applyProtection="1">
      <alignment horizontal="center" vertical="center"/>
      <protection locked="0"/>
    </xf>
    <xf numFmtId="0" fontId="0" fillId="12" borderId="7" xfId="0" applyFill="1" applyBorder="1" applyAlignment="1" applyProtection="1">
      <alignment horizontal="center" vertical="center"/>
      <protection locked="0"/>
    </xf>
    <xf numFmtId="0" fontId="0" fillId="12" borderId="11" xfId="0" applyFill="1" applyBorder="1" applyAlignment="1" applyProtection="1">
      <alignment horizontal="center" vertical="center"/>
      <protection locked="0"/>
    </xf>
    <xf numFmtId="0" fontId="23" fillId="13" borderId="0" xfId="0" applyFont="1" applyFill="1" applyProtection="1">
      <protection locked="0"/>
    </xf>
    <xf numFmtId="0" fontId="12" fillId="7" borderId="1" xfId="0" applyFont="1" applyFill="1" applyBorder="1" applyAlignment="1" applyProtection="1">
      <alignment horizontal="center" vertical="center"/>
      <protection locked="0"/>
    </xf>
    <xf numFmtId="0" fontId="0" fillId="0" borderId="0" xfId="0" applyProtection="1">
      <protection locked="0"/>
    </xf>
    <xf numFmtId="16" fontId="6" fillId="4" borderId="0" xfId="0" quotePrefix="1" applyNumberFormat="1" applyFont="1" applyFill="1"/>
    <xf numFmtId="0" fontId="6" fillId="13" borderId="0" xfId="0" applyFont="1" applyFill="1" applyAlignment="1">
      <alignment horizontal="right" vertical="center"/>
    </xf>
    <xf numFmtId="0" fontId="23" fillId="0" borderId="0" xfId="0" applyFont="1"/>
    <xf numFmtId="0" fontId="23" fillId="0" borderId="0" xfId="0" applyFont="1" applyProtection="1">
      <protection locked="0"/>
    </xf>
    <xf numFmtId="0" fontId="23" fillId="0" borderId="0" xfId="0" applyFont="1" applyFill="1" applyProtection="1">
      <protection locked="0"/>
    </xf>
    <xf numFmtId="0" fontId="22" fillId="7" borderId="9" xfId="0" applyFont="1" applyFill="1" applyBorder="1" applyAlignment="1">
      <alignment horizontal="center" vertical="center" wrapText="1"/>
    </xf>
    <xf numFmtId="0" fontId="3" fillId="0" borderId="6" xfId="0" applyFont="1" applyFill="1" applyBorder="1" applyAlignment="1">
      <alignment horizontal="left" wrapText="1"/>
    </xf>
    <xf numFmtId="0" fontId="0" fillId="0" borderId="6" xfId="0" applyBorder="1" applyAlignment="1">
      <alignment horizontal="left" wrapText="1"/>
    </xf>
    <xf numFmtId="0" fontId="2" fillId="13" borderId="6" xfId="0" applyFont="1" applyFill="1" applyBorder="1" applyAlignment="1">
      <alignment horizontal="left" wrapText="1"/>
    </xf>
    <xf numFmtId="0" fontId="0" fillId="0" borderId="1" xfId="0" applyBorder="1" applyAlignment="1">
      <alignment horizontal="left" wrapText="1"/>
    </xf>
    <xf numFmtId="0" fontId="0" fillId="0" borderId="6" xfId="0" applyFill="1" applyBorder="1" applyAlignment="1">
      <alignment horizontal="left" wrapText="1"/>
    </xf>
    <xf numFmtId="0" fontId="0" fillId="0" borderId="6" xfId="0" applyFill="1" applyBorder="1" applyAlignment="1">
      <alignment horizontal="left" vertical="center" wrapText="1"/>
    </xf>
    <xf numFmtId="0" fontId="0" fillId="0" borderId="6" xfId="0" applyBorder="1" applyAlignment="1">
      <alignment horizontal="left" vertical="center" wrapText="1"/>
    </xf>
    <xf numFmtId="0" fontId="0" fillId="0" borderId="0" xfId="0" applyAlignment="1">
      <alignment horizontal="left" wrapText="1"/>
    </xf>
    <xf numFmtId="0" fontId="18" fillId="14" borderId="1" xfId="0" applyFont="1" applyFill="1" applyBorder="1" applyAlignment="1" applyProtection="1">
      <alignment horizontal="center" wrapText="1"/>
      <protection locked="0"/>
    </xf>
    <xf numFmtId="0" fontId="0" fillId="4" borderId="1" xfId="0" applyFill="1" applyBorder="1" applyAlignment="1" applyProtection="1">
      <alignment wrapText="1"/>
      <protection locked="0"/>
    </xf>
    <xf numFmtId="0" fontId="3" fillId="0" borderId="1" xfId="0" applyFont="1" applyFill="1" applyBorder="1" applyAlignment="1" applyProtection="1">
      <alignment wrapText="1"/>
      <protection locked="0"/>
    </xf>
    <xf numFmtId="0" fontId="0" fillId="0" borderId="1" xfId="0" applyBorder="1" applyAlignment="1" applyProtection="1">
      <alignment wrapText="1"/>
      <protection locked="0"/>
    </xf>
    <xf numFmtId="0" fontId="0" fillId="13" borderId="1" xfId="0" applyFill="1" applyBorder="1" applyAlignment="1" applyProtection="1">
      <alignment wrapText="1"/>
      <protection locked="0"/>
    </xf>
    <xf numFmtId="0" fontId="0" fillId="0" borderId="1" xfId="0" applyBorder="1" applyAlignment="1" applyProtection="1">
      <alignment vertical="center" wrapText="1"/>
      <protection locked="0"/>
    </xf>
    <xf numFmtId="0" fontId="0" fillId="25" borderId="1" xfId="0" applyFill="1" applyBorder="1" applyAlignment="1" applyProtection="1">
      <alignment wrapText="1"/>
      <protection locked="0"/>
    </xf>
    <xf numFmtId="0" fontId="0" fillId="7" borderId="1" xfId="0" applyFill="1" applyBorder="1" applyAlignment="1" applyProtection="1">
      <alignment wrapText="1"/>
      <protection locked="0"/>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0" xfId="0" applyFill="1" applyBorder="1" applyAlignment="1">
      <alignment horizontal="center"/>
    </xf>
    <xf numFmtId="0" fontId="0" fillId="0" borderId="1" xfId="0" applyBorder="1" applyAlignment="1">
      <alignment horizontal="center"/>
    </xf>
    <xf numFmtId="0" fontId="30" fillId="23" borderId="10" xfId="0" applyFont="1" applyFill="1" applyBorder="1" applyAlignment="1">
      <alignment horizontal="center" vertical="center" wrapText="1"/>
    </xf>
    <xf numFmtId="0" fontId="30" fillId="23" borderId="17" xfId="0" applyFont="1" applyFill="1" applyBorder="1" applyAlignment="1">
      <alignment horizontal="center" vertical="center" wrapText="1"/>
    </xf>
    <xf numFmtId="0" fontId="30" fillId="23" borderId="11" xfId="0" applyFont="1" applyFill="1" applyBorder="1" applyAlignment="1">
      <alignment horizontal="center" vertical="center" wrapText="1"/>
    </xf>
    <xf numFmtId="0" fontId="37" fillId="7" borderId="10" xfId="0" applyFont="1" applyFill="1" applyBorder="1" applyAlignment="1">
      <alignment horizontal="center" wrapText="1"/>
    </xf>
    <xf numFmtId="0" fontId="37" fillId="7" borderId="17" xfId="0" applyFont="1" applyFill="1" applyBorder="1" applyAlignment="1">
      <alignment horizontal="center" wrapText="1"/>
    </xf>
    <xf numFmtId="0" fontId="37" fillId="7" borderId="11" xfId="0" applyFont="1" applyFill="1" applyBorder="1" applyAlignment="1">
      <alignment horizontal="center" wrapText="1"/>
    </xf>
    <xf numFmtId="0" fontId="37" fillId="7" borderId="10" xfId="0" applyFont="1" applyFill="1" applyBorder="1" applyAlignment="1">
      <alignment horizontal="center" vertical="top" wrapText="1"/>
    </xf>
    <xf numFmtId="0" fontId="37" fillId="7" borderId="17" xfId="0" applyFont="1" applyFill="1" applyBorder="1" applyAlignment="1">
      <alignment horizontal="center" vertical="top" wrapText="1"/>
    </xf>
    <xf numFmtId="0" fontId="9" fillId="3" borderId="1" xfId="0" applyFont="1" applyFill="1" applyBorder="1" applyAlignment="1">
      <alignment horizontal="center"/>
    </xf>
    <xf numFmtId="0" fontId="0" fillId="4" borderId="1" xfId="0" applyFill="1" applyBorder="1" applyAlignment="1">
      <alignment horizontal="center"/>
    </xf>
    <xf numFmtId="0" fontId="0" fillId="0" borderId="0" xfId="0" applyFill="1" applyAlignment="1">
      <alignment horizontal="center" vertical="center"/>
    </xf>
    <xf numFmtId="0" fontId="0" fillId="4" borderId="0" xfId="0" applyFill="1" applyAlignment="1">
      <alignment horizontal="center" vertical="center"/>
    </xf>
    <xf numFmtId="0" fontId="0" fillId="0" borderId="25" xfId="0" applyBorder="1" applyAlignment="1">
      <alignment horizontal="right" vertical="center" wrapText="1"/>
    </xf>
    <xf numFmtId="0" fontId="0" fillId="0" borderId="0" xfId="0" applyAlignment="1">
      <alignment horizontal="right" vertical="center" wrapText="1"/>
    </xf>
    <xf numFmtId="0" fontId="0" fillId="7" borderId="6" xfId="0" applyFill="1" applyBorder="1" applyAlignment="1">
      <alignment horizontal="center"/>
    </xf>
    <xf numFmtId="0" fontId="0" fillId="7" borderId="8" xfId="0" applyFill="1" applyBorder="1" applyAlignment="1">
      <alignment horizontal="center"/>
    </xf>
    <xf numFmtId="0" fontId="0" fillId="7" borderId="7" xfId="0" applyFill="1" applyBorder="1" applyAlignment="1">
      <alignment horizontal="center"/>
    </xf>
    <xf numFmtId="0" fontId="0" fillId="2" borderId="1" xfId="0" applyFill="1" applyBorder="1" applyAlignment="1">
      <alignment horizontal="center"/>
    </xf>
    <xf numFmtId="0" fontId="0" fillId="8" borderId="1" xfId="0" applyFill="1" applyBorder="1" applyAlignment="1">
      <alignment horizontal="center"/>
    </xf>
    <xf numFmtId="0" fontId="0" fillId="12" borderId="1" xfId="0" applyFill="1" applyBorder="1" applyAlignment="1">
      <alignment horizontal="center"/>
    </xf>
    <xf numFmtId="0" fontId="9" fillId="3" borderId="2" xfId="0" applyFont="1" applyFill="1" applyBorder="1" applyAlignment="1">
      <alignment horizontal="center" vertical="center"/>
    </xf>
    <xf numFmtId="0" fontId="9" fillId="3" borderId="15" xfId="0" applyFont="1" applyFill="1" applyBorder="1" applyAlignment="1">
      <alignment horizontal="center" vertical="center"/>
    </xf>
    <xf numFmtId="0" fontId="9" fillId="3" borderId="3"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16" xfId="0" applyFont="1" applyFill="1" applyBorder="1" applyAlignment="1">
      <alignment horizontal="center" vertical="center"/>
    </xf>
    <xf numFmtId="0" fontId="9" fillId="3" borderId="5" xfId="0" applyFont="1" applyFill="1" applyBorder="1" applyAlignment="1">
      <alignment horizontal="center" vertical="center"/>
    </xf>
    <xf numFmtId="0" fontId="0" fillId="5" borderId="1" xfId="0"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35" fillId="13" borderId="0" xfId="0" applyFont="1" applyFill="1" applyBorder="1" applyAlignment="1">
      <alignment horizontal="left" vertical="top" wrapText="1"/>
    </xf>
    <xf numFmtId="0" fontId="35" fillId="13" borderId="0" xfId="0" applyFont="1" applyFill="1" applyBorder="1" applyAlignment="1">
      <alignment horizontal="left" wrapText="1"/>
    </xf>
    <xf numFmtId="0" fontId="35" fillId="13" borderId="0" xfId="0" applyFont="1" applyFill="1" applyBorder="1" applyAlignment="1">
      <alignment horizontal="left" vertical="center" wrapText="1"/>
    </xf>
    <xf numFmtId="0" fontId="10" fillId="13" borderId="0" xfId="0" applyFont="1" applyFill="1" applyAlignment="1">
      <alignment horizontal="left" vertical="center"/>
    </xf>
    <xf numFmtId="0" fontId="5" fillId="18" borderId="6" xfId="0" applyFont="1" applyFill="1" applyBorder="1" applyAlignment="1">
      <alignment horizontal="left" vertical="top" wrapText="1"/>
    </xf>
    <xf numFmtId="0" fontId="5" fillId="18" borderId="8" xfId="0" applyFont="1" applyFill="1" applyBorder="1" applyAlignment="1">
      <alignment horizontal="left" vertical="top" wrapText="1"/>
    </xf>
    <xf numFmtId="0" fontId="5" fillId="18" borderId="7" xfId="0" applyFont="1" applyFill="1" applyBorder="1" applyAlignment="1">
      <alignment horizontal="left" vertical="top" wrapText="1"/>
    </xf>
    <xf numFmtId="0" fontId="5" fillId="18" borderId="6" xfId="0" applyFont="1" applyFill="1" applyBorder="1" applyAlignment="1">
      <alignment horizontal="left" vertical="center" wrapText="1"/>
    </xf>
    <xf numFmtId="0" fontId="5" fillId="18" borderId="8" xfId="0" applyFont="1" applyFill="1" applyBorder="1" applyAlignment="1">
      <alignment horizontal="left" vertical="center" wrapText="1"/>
    </xf>
    <xf numFmtId="0" fontId="5" fillId="18" borderId="7" xfId="0" applyFont="1" applyFill="1" applyBorder="1" applyAlignment="1">
      <alignment horizontal="left" vertical="center" wrapText="1"/>
    </xf>
    <xf numFmtId="0" fontId="11" fillId="11" borderId="12" xfId="0" applyFont="1" applyFill="1" applyBorder="1" applyAlignment="1">
      <alignment horizontal="center" vertical="center" wrapText="1"/>
    </xf>
    <xf numFmtId="0" fontId="11" fillId="11" borderId="24" xfId="0" applyFont="1" applyFill="1" applyBorder="1" applyAlignment="1">
      <alignment horizontal="center" vertical="center" wrapText="1"/>
    </xf>
    <xf numFmtId="0" fontId="11" fillId="11" borderId="13" xfId="0" applyFont="1" applyFill="1" applyBorder="1" applyAlignment="1">
      <alignment horizontal="center" vertical="center" wrapText="1"/>
    </xf>
    <xf numFmtId="22" fontId="0" fillId="19" borderId="6" xfId="0" applyNumberFormat="1" applyFill="1" applyBorder="1" applyAlignment="1" applyProtection="1">
      <alignment horizontal="left" vertical="center" wrapText="1"/>
      <protection locked="0"/>
    </xf>
    <xf numFmtId="0" fontId="0" fillId="19" borderId="8" xfId="0" applyFill="1" applyBorder="1" applyAlignment="1" applyProtection="1">
      <alignment horizontal="left" vertical="center" wrapText="1"/>
      <protection locked="0"/>
    </xf>
    <xf numFmtId="0" fontId="0" fillId="19" borderId="7" xfId="0" applyFill="1" applyBorder="1" applyAlignment="1" applyProtection="1">
      <alignment horizontal="left" vertical="center" wrapText="1"/>
      <protection locked="0"/>
    </xf>
    <xf numFmtId="0" fontId="0" fillId="19" borderId="6" xfId="0" applyFill="1" applyBorder="1" applyAlignment="1" applyProtection="1">
      <alignment horizontal="left" vertical="center" wrapText="1"/>
      <protection locked="0"/>
    </xf>
    <xf numFmtId="0" fontId="0" fillId="21" borderId="1" xfId="0" applyFill="1" applyBorder="1" applyAlignment="1" applyProtection="1">
      <alignment horizontal="left" vertical="center" wrapText="1"/>
      <protection locked="0"/>
    </xf>
    <xf numFmtId="0" fontId="17" fillId="12" borderId="21" xfId="0" applyFont="1" applyFill="1" applyBorder="1" applyAlignment="1">
      <alignment horizontal="center" vertical="center" wrapText="1"/>
    </xf>
    <xf numFmtId="0" fontId="17" fillId="12" borderId="23" xfId="0" applyFont="1" applyFill="1" applyBorder="1" applyAlignment="1">
      <alignment horizontal="center" vertical="center" wrapText="1"/>
    </xf>
    <xf numFmtId="0" fontId="17" fillId="12" borderId="22" xfId="0" applyFont="1" applyFill="1" applyBorder="1" applyAlignment="1">
      <alignment horizontal="center" vertical="center" wrapText="1"/>
    </xf>
    <xf numFmtId="0" fontId="0" fillId="19" borderId="1" xfId="0" applyFill="1" applyBorder="1" applyAlignment="1" applyProtection="1">
      <alignment horizontal="left" vertical="center" wrapText="1"/>
      <protection locked="0"/>
    </xf>
    <xf numFmtId="0" fontId="5" fillId="10" borderId="1" xfId="0" applyFont="1" applyFill="1" applyBorder="1" applyAlignment="1">
      <alignment horizontal="left" vertical="center" wrapText="1"/>
    </xf>
    <xf numFmtId="0" fontId="22" fillId="19" borderId="6" xfId="0" applyFont="1" applyFill="1" applyBorder="1" applyAlignment="1" applyProtection="1">
      <alignment horizontal="left" vertical="center"/>
      <protection locked="0"/>
    </xf>
    <xf numFmtId="0" fontId="22" fillId="19" borderId="8" xfId="0" applyFont="1" applyFill="1" applyBorder="1" applyAlignment="1" applyProtection="1">
      <alignment horizontal="left" vertical="center"/>
      <protection locked="0"/>
    </xf>
    <xf numFmtId="0" fontId="22" fillId="19" borderId="7" xfId="0" applyFont="1" applyFill="1" applyBorder="1" applyAlignment="1" applyProtection="1">
      <alignment horizontal="left" vertical="center"/>
      <protection locked="0"/>
    </xf>
    <xf numFmtId="0" fontId="0" fillId="13" borderId="0" xfId="0" applyFill="1" applyAlignment="1">
      <alignment horizontal="left" vertical="top" wrapText="1" indent="1"/>
    </xf>
    <xf numFmtId="0" fontId="5" fillId="10" borderId="6" xfId="0" applyFont="1" applyFill="1" applyBorder="1" applyAlignment="1">
      <alignment horizontal="left" vertical="center" wrapText="1"/>
    </xf>
    <xf numFmtId="0" fontId="5" fillId="10" borderId="8" xfId="0" applyFont="1" applyFill="1" applyBorder="1" applyAlignment="1">
      <alignment horizontal="left" vertical="center" wrapText="1"/>
    </xf>
    <xf numFmtId="0" fontId="5" fillId="10" borderId="7" xfId="0" applyFont="1" applyFill="1" applyBorder="1" applyAlignment="1">
      <alignment horizontal="left" vertical="center" wrapText="1"/>
    </xf>
    <xf numFmtId="0" fontId="5" fillId="10" borderId="6" xfId="0" applyFont="1" applyFill="1" applyBorder="1" applyAlignment="1">
      <alignment horizontal="left" vertical="center"/>
    </xf>
    <xf numFmtId="0" fontId="5" fillId="10" borderId="8" xfId="0" applyFont="1" applyFill="1" applyBorder="1" applyAlignment="1">
      <alignment horizontal="left" vertical="center"/>
    </xf>
    <xf numFmtId="0" fontId="20" fillId="17" borderId="6" xfId="0" applyFont="1" applyFill="1" applyBorder="1" applyAlignment="1">
      <alignment horizontal="left"/>
    </xf>
    <xf numFmtId="0" fontId="20" fillId="17" borderId="7" xfId="0" applyFont="1" applyFill="1" applyBorder="1" applyAlignment="1">
      <alignment horizontal="left"/>
    </xf>
    <xf numFmtId="0" fontId="0" fillId="12" borderId="1" xfId="0" applyFill="1" applyBorder="1" applyAlignment="1" applyProtection="1">
      <alignment horizontal="left" vertical="center"/>
      <protection locked="0"/>
    </xf>
    <xf numFmtId="0" fontId="20" fillId="16" borderId="6" xfId="0" applyFont="1" applyFill="1" applyBorder="1" applyAlignment="1">
      <alignment horizontal="center" vertical="center"/>
    </xf>
    <xf numFmtId="0" fontId="20" fillId="16" borderId="8" xfId="0" applyFont="1" applyFill="1" applyBorder="1" applyAlignment="1">
      <alignment horizontal="center" vertical="center"/>
    </xf>
    <xf numFmtId="0" fontId="20" fillId="16" borderId="7" xfId="0" applyFont="1" applyFill="1" applyBorder="1" applyAlignment="1">
      <alignment horizontal="center" vertical="center"/>
    </xf>
    <xf numFmtId="0" fontId="5" fillId="10" borderId="7" xfId="0" applyFont="1" applyFill="1" applyBorder="1" applyAlignment="1">
      <alignment horizontal="left" vertical="center"/>
    </xf>
    <xf numFmtId="0" fontId="0" fillId="13" borderId="0" xfId="0" applyFill="1" applyAlignment="1">
      <alignment horizontal="left" vertical="top" wrapText="1"/>
    </xf>
  </cellXfs>
  <cellStyles count="3">
    <cellStyle name="Hyperlink" xfId="1" builtinId="8"/>
    <cellStyle name="Normal" xfId="0" builtinId="0"/>
    <cellStyle name="Percent" xfId="2" builtinId="5"/>
  </cellStyles>
  <dxfs count="23">
    <dxf>
      <font>
        <color rgb="FFFF0000"/>
      </font>
    </dxf>
    <dxf>
      <font>
        <color rgb="FFFF0000"/>
      </font>
    </dxf>
    <dxf>
      <font>
        <color theme="5"/>
      </font>
    </dxf>
    <dxf>
      <font>
        <color theme="5"/>
      </font>
    </dxf>
    <dxf>
      <font>
        <color rgb="FFC00000"/>
      </font>
    </dxf>
    <dxf>
      <font>
        <color theme="5"/>
      </font>
    </dxf>
    <dxf>
      <font>
        <color theme="5"/>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fill>
        <patternFill>
          <bgColor theme="0"/>
        </patternFill>
      </fill>
      <border>
        <left/>
        <right/>
        <top/>
        <bottom/>
      </border>
    </dxf>
    <dxf>
      <font>
        <color rgb="FFFF0000"/>
      </font>
    </dxf>
    <dxf>
      <font>
        <color rgb="FFFF0000"/>
      </font>
    </dxf>
    <dxf>
      <font>
        <color theme="5"/>
      </font>
    </dxf>
    <dxf>
      <font>
        <color theme="5"/>
      </font>
    </dxf>
    <dxf>
      <font>
        <color rgb="FFC00000"/>
      </font>
    </dxf>
    <dxf>
      <font>
        <color theme="5"/>
      </font>
    </dxf>
    <dxf>
      <font>
        <color theme="0"/>
      </font>
    </dxf>
    <dxf>
      <fill>
        <patternFill>
          <bgColor theme="0"/>
        </patternFill>
      </fill>
      <border>
        <left/>
        <right/>
        <top/>
        <bottom/>
        <vertical/>
        <horizontal/>
      </border>
    </dxf>
    <dxf>
      <font>
        <color theme="5"/>
      </font>
    </dxf>
  </dxfs>
  <tableStyles count="0" defaultTableStyle="TableStyleMedium2" defaultPivotStyle="PivotStyleLight16"/>
  <colors>
    <mruColors>
      <color rgb="FFFF8B8B"/>
      <color rgb="FFFF4B4B"/>
      <color rgb="FFE8D8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ueen-games.com/" TargetMode="External"/><Relationship Id="rId2" Type="http://schemas.openxmlformats.org/officeDocument/2006/relationships/hyperlink" Target="https://boardgamegeek.com/boardgamedesigner/10525/donald-x-vaccarino" TargetMode="External"/><Relationship Id="rId1" Type="http://schemas.openxmlformats.org/officeDocument/2006/relationships/hyperlink" Target="https://boardgamegeek.com/boardgame/107529/kingdom-builder" TargetMode="External"/><Relationship Id="rId5" Type="http://schemas.openxmlformats.org/officeDocument/2006/relationships/hyperlink" Target="https://boardgamegeek.com/filepage/176521/kingdom-builder-randomizer" TargetMode="External"/><Relationship Id="rId4" Type="http://schemas.openxmlformats.org/officeDocument/2006/relationships/hyperlink" Target="https://boardgamegeek.com/user/Wuzetu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90"/>
  <sheetViews>
    <sheetView workbookViewId="0">
      <selection activeCell="E66" sqref="E66:E80"/>
    </sheetView>
  </sheetViews>
  <sheetFormatPr defaultRowHeight="14.4" x14ac:dyDescent="0.3"/>
  <cols>
    <col min="1" max="1" width="3" bestFit="1" customWidth="1"/>
    <col min="2" max="3" width="3" style="9" customWidth="1"/>
    <col min="4" max="4" width="11.109375" bestFit="1" customWidth="1"/>
    <col min="5" max="5" width="27.5546875" bestFit="1" customWidth="1"/>
    <col min="6" max="6" width="13.6640625" bestFit="1" customWidth="1"/>
    <col min="7" max="7" width="14" bestFit="1" customWidth="1"/>
    <col min="8" max="8" width="8.6640625" bestFit="1" customWidth="1"/>
    <col min="9" max="9" width="9.5546875" bestFit="1" customWidth="1"/>
    <col min="10" max="10" width="24.33203125" bestFit="1" customWidth="1"/>
    <col min="11" max="11" width="13.33203125" bestFit="1" customWidth="1"/>
    <col min="12" max="12" width="4.88671875" bestFit="1" customWidth="1"/>
    <col min="13" max="13" width="14.44140625" bestFit="1" customWidth="1"/>
    <col min="14" max="16" width="14.44140625" customWidth="1"/>
    <col min="21" max="21" width="10.44140625" bestFit="1" customWidth="1"/>
    <col min="24" max="24" width="13.109375" bestFit="1" customWidth="1"/>
    <col min="27" max="27" width="20.44140625" bestFit="1" customWidth="1"/>
    <col min="33" max="33" width="13.6640625" bestFit="1" customWidth="1"/>
  </cols>
  <sheetData>
    <row r="1" spans="1:47" x14ac:dyDescent="0.3">
      <c r="A1" s="188"/>
      <c r="B1" s="189" t="s">
        <v>92</v>
      </c>
      <c r="C1" s="190"/>
      <c r="D1" s="188" t="s">
        <v>11</v>
      </c>
      <c r="E1" s="188"/>
      <c r="F1" s="12"/>
      <c r="G1" s="12"/>
      <c r="H1" s="13" t="s">
        <v>89</v>
      </c>
      <c r="I1" s="5"/>
      <c r="J1" s="5"/>
      <c r="K1" s="5"/>
      <c r="L1" s="191" t="s">
        <v>92</v>
      </c>
      <c r="M1" s="191"/>
      <c r="N1" s="191"/>
      <c r="O1" s="191"/>
      <c r="P1" s="5"/>
      <c r="AA1" s="19" t="s">
        <v>29</v>
      </c>
      <c r="AB1" s="19">
        <v>1</v>
      </c>
      <c r="AC1" s="19">
        <v>2</v>
      </c>
      <c r="AD1" s="19">
        <v>3</v>
      </c>
      <c r="AE1" s="19">
        <v>4</v>
      </c>
      <c r="AL1" t="s">
        <v>35</v>
      </c>
      <c r="AM1">
        <v>1</v>
      </c>
      <c r="AN1">
        <v>2</v>
      </c>
      <c r="AO1">
        <v>3</v>
      </c>
      <c r="AP1">
        <v>4</v>
      </c>
    </row>
    <row r="2" spans="1:47" x14ac:dyDescent="0.3">
      <c r="A2" s="188"/>
      <c r="B2" s="14" t="s">
        <v>94</v>
      </c>
      <c r="C2" s="14" t="s">
        <v>95</v>
      </c>
      <c r="D2" s="188"/>
      <c r="E2" s="188"/>
      <c r="F2" s="12" t="s">
        <v>86</v>
      </c>
      <c r="G2" s="12" t="s">
        <v>88</v>
      </c>
      <c r="H2" s="12"/>
      <c r="I2" s="5"/>
      <c r="J2" s="12" t="s">
        <v>87</v>
      </c>
      <c r="K2" s="12" t="s">
        <v>91</v>
      </c>
      <c r="L2" s="12">
        <v>1</v>
      </c>
      <c r="M2" s="12">
        <v>2</v>
      </c>
      <c r="N2" s="12">
        <v>3</v>
      </c>
      <c r="O2" s="12">
        <v>4</v>
      </c>
      <c r="P2" s="5"/>
      <c r="Q2" s="1">
        <v>1</v>
      </c>
      <c r="R2" s="1">
        <v>2</v>
      </c>
      <c r="AA2" s="19" t="s">
        <v>93</v>
      </c>
      <c r="AB2" s="19">
        <f>IFERROR(LARGE($G$3:$G$26,AB1),0)</f>
        <v>1</v>
      </c>
      <c r="AC2" s="19">
        <f t="shared" ref="AC2:AE2" si="0">IFERROR(LARGE($G$3:$G$26,AC1),0)</f>
        <v>0</v>
      </c>
      <c r="AD2" s="19">
        <f t="shared" si="0"/>
        <v>0</v>
      </c>
      <c r="AE2" s="19">
        <f t="shared" si="0"/>
        <v>0</v>
      </c>
      <c r="AL2" t="s">
        <v>32</v>
      </c>
      <c r="AM2">
        <v>0</v>
      </c>
      <c r="AN2">
        <v>4</v>
      </c>
      <c r="AO2">
        <v>3</v>
      </c>
      <c r="AP2">
        <v>2</v>
      </c>
    </row>
    <row r="3" spans="1:47" x14ac:dyDescent="0.3">
      <c r="A3" s="15">
        <v>1</v>
      </c>
      <c r="B3" s="15">
        <f t="shared" ref="B3:B10" si="1">1*$L$3</f>
        <v>0</v>
      </c>
      <c r="C3" s="15">
        <f>8*$L$3</f>
        <v>0</v>
      </c>
      <c r="D3" s="15" t="s">
        <v>10</v>
      </c>
      <c r="E3" s="15" t="s">
        <v>0</v>
      </c>
      <c r="F3" s="16" t="str">
        <f>D3&amp;": "&amp;E3</f>
        <v>Base: Tavern</v>
      </c>
      <c r="G3" s="16"/>
      <c r="H3" s="16">
        <f>IF(G3&lt;&gt;0,0,IF(INDEX($K$3:$K$7,MATCH(D3,$J$3:$J$7,0))=1,1,0))</f>
        <v>0</v>
      </c>
      <c r="I3" s="4"/>
      <c r="J3" s="16" t="s">
        <v>10</v>
      </c>
      <c r="K3" s="16">
        <v>0</v>
      </c>
      <c r="L3" s="16">
        <v>0</v>
      </c>
      <c r="M3" s="16">
        <f>IF(L3&gt;0,L3-1,0)</f>
        <v>0</v>
      </c>
      <c r="N3" s="16">
        <f t="shared" ref="N3:O3" si="2">IF(M3&gt;0,M3-1,0)</f>
        <v>0</v>
      </c>
      <c r="O3" s="16">
        <f t="shared" si="2"/>
        <v>0</v>
      </c>
      <c r="P3" s="4"/>
      <c r="Q3" s="1">
        <v>3</v>
      </c>
      <c r="R3" s="1">
        <v>4</v>
      </c>
      <c r="AA3" t="s">
        <v>96</v>
      </c>
      <c r="AB3">
        <f>IF(AB2&lt;&gt;0,0,IF(SUM($L$3:$L$7)&gt;0,1,0))</f>
        <v>0</v>
      </c>
      <c r="AC3">
        <f>IF(AC2&lt;&gt;0,0,IF(SUM($L$3:$L$7)&gt;SUM($AB$3:AB$3),1,0))</f>
        <v>1</v>
      </c>
      <c r="AD3">
        <f>IF(AD2&lt;&gt;0,0,IF(SUM($L$3:$L$7)&gt;SUM($AB$3:AC$3),1,0))</f>
        <v>0</v>
      </c>
      <c r="AE3">
        <f>IF(AE2&lt;&gt;0,0,IF(SUM($L$3:$L$7)&gt;SUM($AB$3:AD$3),1,0))</f>
        <v>0</v>
      </c>
      <c r="AM3">
        <f ca="1">V6</f>
        <v>3</v>
      </c>
      <c r="AN3">
        <f ca="1">MOD(SUM($V$6:$V7),AN2)</f>
        <v>2</v>
      </c>
      <c r="AO3">
        <f ca="1">MOD(SUM($V$6:$V8),AO2)</f>
        <v>1</v>
      </c>
      <c r="AP3">
        <f ca="1">MOD(SUM($V$6:$V9),AP2)</f>
        <v>0</v>
      </c>
    </row>
    <row r="4" spans="1:47" x14ac:dyDescent="0.3">
      <c r="A4" s="15">
        <f>A3+1</f>
        <v>2</v>
      </c>
      <c r="B4" s="15">
        <f t="shared" si="1"/>
        <v>0</v>
      </c>
      <c r="C4" s="15">
        <f t="shared" ref="C4:C10" si="3">8*$L$3</f>
        <v>0</v>
      </c>
      <c r="D4" s="15" t="s">
        <v>10</v>
      </c>
      <c r="E4" s="15" t="s">
        <v>1</v>
      </c>
      <c r="F4" s="16" t="str">
        <f t="shared" ref="F4:F26" si="4">D4&amp;": "&amp;E4</f>
        <v>Base: Barn</v>
      </c>
      <c r="G4" s="16"/>
      <c r="H4" s="16">
        <f t="shared" ref="H4:H26" si="5">IF(G4&lt;&gt;0,0,IF(INDEX($K$3:$K$7,MATCH(D4,$J$3:$J$7,0))=1,1,0))</f>
        <v>0</v>
      </c>
      <c r="I4" s="4"/>
      <c r="J4" s="16" t="s">
        <v>39</v>
      </c>
      <c r="K4" s="16">
        <v>0</v>
      </c>
      <c r="L4" s="16">
        <v>0</v>
      </c>
      <c r="M4" s="16">
        <f>IF(SUM(L$3:L3)=SUM(M$3:M3),IF(L4&gt;0,L4-1,0),L4)</f>
        <v>0</v>
      </c>
      <c r="N4" s="16">
        <f>IF(SUM(M$3:M3)=SUM(N$3:N3),IF(M4&gt;0,M4-1,0),M4)</f>
        <v>0</v>
      </c>
      <c r="O4" s="16">
        <f>IF(SUM(N$3:N3)=SUM(O$3:O3),IF(N4&gt;0,N4-1,0),N4)</f>
        <v>0</v>
      </c>
      <c r="P4" s="4"/>
      <c r="AA4" t="s">
        <v>98</v>
      </c>
      <c r="AB4">
        <f>IF(AB3=0,0,INDEX($L$11:$O$12,1,MATCH(SUM($AB$3:AB$3),$L$2:$O$2,0)))</f>
        <v>0</v>
      </c>
      <c r="AC4">
        <f>IF(AC3=0,0,INDEX($L$11:$O$12,1,MATCH(SUM($AB$3:AC$3),$L$2:$O$2,0)))</f>
        <v>13</v>
      </c>
      <c r="AD4">
        <f>IF(AD3=0,0,INDEX($L$11:$O$12,1,MATCH(SUM($AB$3:AD$3),$L$2:$O$2,0)))</f>
        <v>0</v>
      </c>
      <c r="AE4">
        <f>IF(AE3=0,0,INDEX($L$11:$O$12,1,MATCH(SUM($AB$3:AE$3),$L$2:$O$2,0)))</f>
        <v>0</v>
      </c>
      <c r="AL4" t="s">
        <v>31</v>
      </c>
      <c r="AM4">
        <f ca="1">AM3</f>
        <v>3</v>
      </c>
      <c r="AN4">
        <f ca="1">IF(AN3=0,AN2-1,AN3)</f>
        <v>2</v>
      </c>
      <c r="AO4">
        <f t="shared" ref="AO4:AP4" ca="1" si="6">IF(AO3=0,AO2-1,AO3)</f>
        <v>1</v>
      </c>
      <c r="AP4">
        <f t="shared" ca="1" si="6"/>
        <v>1</v>
      </c>
    </row>
    <row r="5" spans="1:47" x14ac:dyDescent="0.3">
      <c r="A5" s="15">
        <f t="shared" ref="A5:A26" si="7">A4+1</f>
        <v>3</v>
      </c>
      <c r="B5" s="15">
        <f t="shared" si="1"/>
        <v>0</v>
      </c>
      <c r="C5" s="15">
        <f t="shared" si="3"/>
        <v>0</v>
      </c>
      <c r="D5" s="15" t="s">
        <v>10</v>
      </c>
      <c r="E5" s="15" t="s">
        <v>2</v>
      </c>
      <c r="F5" s="16" t="str">
        <f t="shared" si="4"/>
        <v>Base: Farm</v>
      </c>
      <c r="G5" s="16"/>
      <c r="H5" s="16">
        <f t="shared" si="5"/>
        <v>0</v>
      </c>
      <c r="I5" s="4"/>
      <c r="J5" s="16" t="s">
        <v>53</v>
      </c>
      <c r="K5" s="16">
        <v>0</v>
      </c>
      <c r="L5" s="16">
        <v>1</v>
      </c>
      <c r="M5" s="16">
        <f>IF(SUM(L$3:L4)=SUM(M$3:M4),IF(L5&gt;0,L5-1,0),L5)</f>
        <v>0</v>
      </c>
      <c r="N5" s="16">
        <f>IF(SUM(M$3:M4)=SUM(N$3:N4),IF(M5&gt;0,M5-1,0),M5)</f>
        <v>0</v>
      </c>
      <c r="O5" s="16">
        <f>IF(SUM(N$3:N4)=SUM(O$3:O4),IF(N5&gt;0,N5-1,0),N5)</f>
        <v>0</v>
      </c>
      <c r="P5" s="4"/>
      <c r="Q5" t="s">
        <v>36</v>
      </c>
      <c r="AA5" t="s">
        <v>99</v>
      </c>
      <c r="AB5">
        <f>IF(AB3=0,0,INDEX($L$11:$O$12,2,MATCH(SUM($AB$3:AB$3),$L$2:$O$2,0)))</f>
        <v>0</v>
      </c>
      <c r="AC5">
        <f>IF(AC3=0,0,INDEX($L$11:$O$12,2,MATCH(SUM($AB$3:AC$3),$L$2:$O$2,0)))</f>
        <v>16</v>
      </c>
      <c r="AD5">
        <f>IF(AD3=0,0,INDEX($L$11:$O$12,2,MATCH(SUM($AB$3:AD$3),$L$2:$O$2,0)))</f>
        <v>0</v>
      </c>
      <c r="AE5">
        <f>IF(AE3=0,0,INDEX($L$11:$O$12,2,MATCH(SUM($AB$3:AE$3),$L$2:$O$2,0)))</f>
        <v>0</v>
      </c>
      <c r="AL5" t="s">
        <v>33</v>
      </c>
      <c r="AM5">
        <f ca="1">AM4</f>
        <v>3</v>
      </c>
      <c r="AN5">
        <f ca="1">INDEX($AL$10:$AL$13,MATCH(AN4,AS10:AS13,0))</f>
        <v>2</v>
      </c>
      <c r="AO5">
        <f ca="1">INDEX($AL$10:$AL$13,MATCH(AO4,AT10:AT13,0))</f>
        <v>1</v>
      </c>
      <c r="AP5">
        <f ca="1">INDEX($AL$10:$AL$13,MATCH(AP4,AU10:AU13,0))</f>
        <v>4</v>
      </c>
    </row>
    <row r="6" spans="1:47" x14ac:dyDescent="0.3">
      <c r="A6" s="15">
        <f t="shared" si="7"/>
        <v>4</v>
      </c>
      <c r="B6" s="15">
        <f t="shared" si="1"/>
        <v>0</v>
      </c>
      <c r="C6" s="15">
        <f t="shared" si="3"/>
        <v>0</v>
      </c>
      <c r="D6" s="15" t="s">
        <v>10</v>
      </c>
      <c r="E6" s="15" t="s">
        <v>3</v>
      </c>
      <c r="F6" s="16" t="str">
        <f t="shared" si="4"/>
        <v>Base: Oasis</v>
      </c>
      <c r="G6" s="16"/>
      <c r="H6" s="16">
        <f t="shared" si="5"/>
        <v>0</v>
      </c>
      <c r="I6" s="4"/>
      <c r="J6" s="16" t="s">
        <v>64</v>
      </c>
      <c r="K6" s="16">
        <v>1</v>
      </c>
      <c r="L6" s="16">
        <v>0</v>
      </c>
      <c r="M6" s="16">
        <f>IF(SUM(L$3:L5)=SUM(M$3:M5),IF(L6&gt;0,L6-1,0),L6)</f>
        <v>0</v>
      </c>
      <c r="N6" s="16">
        <f>IF(SUM(M$3:M5)=SUM(N$3:N5),IF(M6&gt;0,M6-1,0),M6)</f>
        <v>0</v>
      </c>
      <c r="O6" s="16">
        <f>IF(SUM(N$3:N5)=SUM(O$3:O5),IF(N6&gt;0,N6-1,0),N6)</f>
        <v>0</v>
      </c>
      <c r="P6" s="4"/>
      <c r="Q6">
        <f ca="1">INDEX($AB$17:$AE$17,1,MATCH(Q2,$AB$18:$AE$18,0))</f>
        <v>20</v>
      </c>
      <c r="R6">
        <f ca="1">INDEX($AB$17:$AE$17,1,MATCH(R2,$AB$18:$AE$18,0))</f>
        <v>16</v>
      </c>
      <c r="T6">
        <v>1</v>
      </c>
      <c r="U6" t="str">
        <f>"Pozycja "&amp;T6</f>
        <v>Pozycja 1</v>
      </c>
      <c r="V6">
        <f ca="1">RANDBETWEEN(1,4-T6+1)</f>
        <v>3</v>
      </c>
    </row>
    <row r="7" spans="1:47" x14ac:dyDescent="0.3">
      <c r="A7" s="15">
        <f t="shared" si="7"/>
        <v>5</v>
      </c>
      <c r="B7" s="15">
        <f t="shared" si="1"/>
        <v>0</v>
      </c>
      <c r="C7" s="15">
        <f t="shared" si="3"/>
        <v>0</v>
      </c>
      <c r="D7" s="15" t="s">
        <v>10</v>
      </c>
      <c r="E7" s="15" t="s">
        <v>4</v>
      </c>
      <c r="F7" s="16" t="str">
        <f t="shared" si="4"/>
        <v>Base: Paddock</v>
      </c>
      <c r="G7" s="16"/>
      <c r="H7" s="16">
        <f t="shared" si="5"/>
        <v>0</v>
      </c>
      <c r="I7" s="4"/>
      <c r="J7" s="16" t="s">
        <v>75</v>
      </c>
      <c r="K7" s="16">
        <v>0</v>
      </c>
      <c r="L7" s="16">
        <v>0</v>
      </c>
      <c r="M7" s="16">
        <f>IF(SUM(L$3:L6)=SUM(M$3:M6),IF(L7&gt;0,L7-1,0),L7)</f>
        <v>0</v>
      </c>
      <c r="N7" s="16">
        <f>IF(SUM(M$3:M6)=SUM(N$3:N6),IF(M7&gt;0,M7-1,0),M7)</f>
        <v>0</v>
      </c>
      <c r="O7" s="16">
        <f>IF(SUM(N$3:N6)=SUM(O$3:O6),IF(N7&gt;0,N7-1,0),N7)</f>
        <v>0</v>
      </c>
      <c r="P7" s="4"/>
      <c r="Q7">
        <f ca="1">INDEX($AB$17:$AE$17,1,MATCH(Q3,$AB$18:$AE$18,0))</f>
        <v>7</v>
      </c>
      <c r="R7">
        <f ca="1">INDEX($AB$17:$AE$17,1,MATCH(R3,$AB$18:$AE$18,0))</f>
        <v>19</v>
      </c>
      <c r="T7">
        <v>2</v>
      </c>
      <c r="U7" s="2" t="str">
        <f t="shared" ref="U7:U9" si="8">"Pozycja "&amp;T7</f>
        <v>Pozycja 2</v>
      </c>
      <c r="V7">
        <f t="shared" ref="V7:V9" ca="1" si="9">RANDBETWEEN(1,4-T7+1)</f>
        <v>3</v>
      </c>
    </row>
    <row r="8" spans="1:47" x14ac:dyDescent="0.3">
      <c r="A8" s="15">
        <f t="shared" si="7"/>
        <v>6</v>
      </c>
      <c r="B8" s="15">
        <f t="shared" si="1"/>
        <v>0</v>
      </c>
      <c r="C8" s="15">
        <f t="shared" si="3"/>
        <v>0</v>
      </c>
      <c r="D8" s="15" t="s">
        <v>10</v>
      </c>
      <c r="E8" s="15" t="s">
        <v>5</v>
      </c>
      <c r="F8" s="16" t="str">
        <f t="shared" si="4"/>
        <v>Base: Tower</v>
      </c>
      <c r="G8" s="16"/>
      <c r="H8" s="16">
        <f t="shared" si="5"/>
        <v>0</v>
      </c>
      <c r="I8" s="4"/>
      <c r="J8" s="16" t="s">
        <v>13</v>
      </c>
      <c r="K8" s="16">
        <v>1</v>
      </c>
      <c r="L8" s="6"/>
      <c r="M8" s="6"/>
      <c r="N8" s="4"/>
      <c r="O8" s="4"/>
      <c r="P8" s="4"/>
      <c r="T8">
        <v>3</v>
      </c>
      <c r="U8" s="2" t="str">
        <f t="shared" si="8"/>
        <v>Pozycja 3</v>
      </c>
      <c r="V8">
        <f t="shared" ca="1" si="9"/>
        <v>1</v>
      </c>
    </row>
    <row r="9" spans="1:47" x14ac:dyDescent="0.3">
      <c r="A9" s="15">
        <f t="shared" si="7"/>
        <v>7</v>
      </c>
      <c r="B9" s="15">
        <f t="shared" si="1"/>
        <v>0</v>
      </c>
      <c r="C9" s="15">
        <f t="shared" si="3"/>
        <v>0</v>
      </c>
      <c r="D9" s="15" t="s">
        <v>10</v>
      </c>
      <c r="E9" s="15" t="s">
        <v>6</v>
      </c>
      <c r="F9" s="16" t="str">
        <f t="shared" si="4"/>
        <v>Base: Oracle</v>
      </c>
      <c r="G9" s="16">
        <v>1</v>
      </c>
      <c r="H9" s="16">
        <f t="shared" si="5"/>
        <v>0</v>
      </c>
      <c r="I9" s="4"/>
      <c r="J9" s="4"/>
      <c r="K9" s="4"/>
      <c r="L9" s="4"/>
      <c r="M9" s="4"/>
      <c r="N9" s="4"/>
      <c r="O9" s="4"/>
      <c r="P9" s="4"/>
      <c r="T9">
        <v>4</v>
      </c>
      <c r="U9" s="2" t="str">
        <f t="shared" si="8"/>
        <v>Pozycja 4</v>
      </c>
      <c r="V9">
        <f t="shared" ca="1" si="9"/>
        <v>1</v>
      </c>
      <c r="AL9" t="s">
        <v>34</v>
      </c>
      <c r="AR9" t="s">
        <v>30</v>
      </c>
    </row>
    <row r="10" spans="1:47" x14ac:dyDescent="0.3">
      <c r="A10" s="15">
        <f t="shared" si="7"/>
        <v>8</v>
      </c>
      <c r="B10" s="15">
        <f t="shared" si="1"/>
        <v>0</v>
      </c>
      <c r="C10" s="15">
        <f t="shared" si="3"/>
        <v>0</v>
      </c>
      <c r="D10" s="15" t="s">
        <v>10</v>
      </c>
      <c r="E10" s="15" t="s">
        <v>7</v>
      </c>
      <c r="F10" s="16" t="str">
        <f t="shared" si="4"/>
        <v>Base: Harbor</v>
      </c>
      <c r="G10" s="16"/>
      <c r="H10" s="16">
        <f t="shared" si="5"/>
        <v>0</v>
      </c>
      <c r="I10" s="4"/>
      <c r="J10" s="4"/>
      <c r="K10" s="16" t="s">
        <v>92</v>
      </c>
      <c r="L10" s="16" t="str">
        <f>IF(L$3&lt;&gt;0,$J$3,IF(L$4&lt;&gt;0,$J$4,IF(L$5&lt;&gt;0,$J$5,IF(L$6&lt;&gt;0,$J$6,IF(L$7&lt;&gt;0,$J$7,0)))))</f>
        <v>Crossroads</v>
      </c>
      <c r="M10" s="16">
        <f t="shared" ref="M10:O10" si="10">IF(M$3&lt;&gt;0,$J$3,IF(M$4&lt;&gt;0,$J$4,IF(M$5&lt;&gt;0,$J$5,IF(M$6&lt;&gt;0,$J$6,IF(M$7&lt;&gt;0,$J$7,0)))))</f>
        <v>0</v>
      </c>
      <c r="N10" s="16">
        <f t="shared" si="10"/>
        <v>0</v>
      </c>
      <c r="O10" s="16">
        <f t="shared" si="10"/>
        <v>0</v>
      </c>
      <c r="P10" s="4"/>
      <c r="T10">
        <v>1</v>
      </c>
      <c r="U10" t="str">
        <f>"Victory "&amp;T10</f>
        <v>Victory 1</v>
      </c>
      <c r="V10">
        <f ca="1">RANDBETWEEN($Y$10,$Y$11-T10+1)</f>
        <v>1</v>
      </c>
      <c r="X10" t="s">
        <v>27</v>
      </c>
      <c r="Y10">
        <v>1</v>
      </c>
      <c r="AA10" t="s">
        <v>26</v>
      </c>
      <c r="AB10" t="e">
        <f ca="1">RANDBETWEEN(1,SUM(AB22:AB45))</f>
        <v>#NUM!</v>
      </c>
      <c r="AC10">
        <f t="shared" ref="AC10:AE10" ca="1" si="11">RANDBETWEEN(1,SUM(AC22:AC45))</f>
        <v>4</v>
      </c>
      <c r="AD10">
        <f t="shared" ca="1" si="11"/>
        <v>4</v>
      </c>
      <c r="AE10">
        <f t="shared" ca="1" si="11"/>
        <v>3</v>
      </c>
      <c r="AL10">
        <v>1</v>
      </c>
      <c r="AM10">
        <v>1</v>
      </c>
      <c r="AN10">
        <f ca="1">IF(AL10=$AM$5,0,AM10)</f>
        <v>1</v>
      </c>
      <c r="AO10">
        <f ca="1">IF(OR(AL10=$AM$5,AL10=$AN$5),0,AM10)</f>
        <v>1</v>
      </c>
      <c r="AP10">
        <f ca="1">IF(OR(AL10=$AM$5,AL10=$AN$5,AL10=$AO$5),0,AM10)</f>
        <v>0</v>
      </c>
      <c r="AR10">
        <f>SUM(AM$10:AM10)</f>
        <v>1</v>
      </c>
      <c r="AS10">
        <f ca="1">SUM(AN$10:AN10)</f>
        <v>1</v>
      </c>
      <c r="AT10">
        <f ca="1">SUM(AO$10:AO10)</f>
        <v>1</v>
      </c>
      <c r="AU10">
        <f ca="1">SUM(AP$10:AP10)</f>
        <v>0</v>
      </c>
    </row>
    <row r="11" spans="1:47" x14ac:dyDescent="0.3">
      <c r="A11" s="15">
        <f t="shared" si="7"/>
        <v>9</v>
      </c>
      <c r="B11" s="15">
        <f>9*$L$4</f>
        <v>0</v>
      </c>
      <c r="C11" s="15">
        <f t="shared" ref="C11:C14" si="12">12*$L$4</f>
        <v>0</v>
      </c>
      <c r="D11" s="15" t="s">
        <v>39</v>
      </c>
      <c r="E11" s="15" t="s">
        <v>40</v>
      </c>
      <c r="F11" s="16" t="str">
        <f t="shared" si="4"/>
        <v>Nomads: Quarry</v>
      </c>
      <c r="G11" s="16"/>
      <c r="H11" s="16">
        <f t="shared" si="5"/>
        <v>0</v>
      </c>
      <c r="I11" s="4"/>
      <c r="J11" s="4"/>
      <c r="K11" s="16" t="s">
        <v>94</v>
      </c>
      <c r="L11" s="16">
        <f>IF(L$10=0,0,9-IF(L$10="Base",4,0)+(MATCH(L$10,$J$3:$J$7,0)-2)*4)</f>
        <v>13</v>
      </c>
      <c r="M11" s="16">
        <f t="shared" ref="M11:O11" si="13">IF(M$10=0,0,9-IF(M$10="Base",4,0)+(MATCH(M$10,$J$3:$J$7,0)-2)*4)</f>
        <v>0</v>
      </c>
      <c r="N11" s="16">
        <f t="shared" si="13"/>
        <v>0</v>
      </c>
      <c r="O11" s="16">
        <f t="shared" si="13"/>
        <v>0</v>
      </c>
      <c r="P11" s="4"/>
      <c r="T11">
        <v>2</v>
      </c>
      <c r="U11" t="str">
        <f>"Victory "&amp;T11</f>
        <v>Victory 2</v>
      </c>
      <c r="V11">
        <f ca="1">RANDBETWEEN($Y$10,$Y$11-T11+1)</f>
        <v>2</v>
      </c>
      <c r="X11" t="s">
        <v>90</v>
      </c>
      <c r="Y11">
        <f>SUM(H31:H55)</f>
        <v>6</v>
      </c>
      <c r="AL11">
        <f>AL10+1</f>
        <v>2</v>
      </c>
      <c r="AM11">
        <v>1</v>
      </c>
      <c r="AN11">
        <f ca="1">IF(AL11=$AM$5,0,AM11)</f>
        <v>1</v>
      </c>
      <c r="AO11">
        <f ca="1">IF(OR(AL11=$AM$5,AL11=$AN$5),0,AM11)</f>
        <v>0</v>
      </c>
      <c r="AP11">
        <f ca="1">IF(OR(AL11=$AM$5,AL11=$AN$5,AL11=$AO$5),0,AM11)</f>
        <v>0</v>
      </c>
      <c r="AR11">
        <f>SUM(AM$10:AM11)</f>
        <v>2</v>
      </c>
      <c r="AS11">
        <f ca="1">SUM(AN$10:AN11)</f>
        <v>2</v>
      </c>
      <c r="AT11">
        <f ca="1">SUM(AO$10:AO11)</f>
        <v>1</v>
      </c>
      <c r="AU11">
        <f ca="1">SUM(AP$10:AP11)</f>
        <v>0</v>
      </c>
    </row>
    <row r="12" spans="1:47" x14ac:dyDescent="0.3">
      <c r="A12" s="15">
        <f t="shared" si="7"/>
        <v>10</v>
      </c>
      <c r="B12" s="15">
        <f>9*$L$4</f>
        <v>0</v>
      </c>
      <c r="C12" s="15">
        <f t="shared" si="12"/>
        <v>0</v>
      </c>
      <c r="D12" s="15" t="s">
        <v>39</v>
      </c>
      <c r="E12" s="15" t="s">
        <v>41</v>
      </c>
      <c r="F12" s="16" t="str">
        <f t="shared" si="4"/>
        <v>Nomads: Caravan</v>
      </c>
      <c r="G12" s="16"/>
      <c r="H12" s="16">
        <f t="shared" si="5"/>
        <v>0</v>
      </c>
      <c r="I12" s="4"/>
      <c r="J12" s="4"/>
      <c r="K12" s="16" t="s">
        <v>97</v>
      </c>
      <c r="L12" s="16">
        <f>IF(L$10=0,0,4+(MATCH(L$10,$J$3:$J$7,0))*4)</f>
        <v>16</v>
      </c>
      <c r="M12" s="16">
        <f t="shared" ref="M12:O12" si="14">IF(M$10=0,0,4+(MATCH(M$10,$J$3:$J$7,0))*4)</f>
        <v>0</v>
      </c>
      <c r="N12" s="16">
        <f t="shared" si="14"/>
        <v>0</v>
      </c>
      <c r="O12" s="16">
        <f t="shared" si="14"/>
        <v>0</v>
      </c>
      <c r="P12" s="4"/>
      <c r="T12">
        <v>3</v>
      </c>
      <c r="U12" t="str">
        <f>"Victory "&amp;T12</f>
        <v>Victory 3</v>
      </c>
      <c r="V12">
        <f ca="1">RANDBETWEEN($Y$10,$Y$11-T12+1)</f>
        <v>1</v>
      </c>
      <c r="AL12">
        <f t="shared" ref="AL12:AL13" si="15">AL11+1</f>
        <v>3</v>
      </c>
      <c r="AM12">
        <v>1</v>
      </c>
      <c r="AN12">
        <f ca="1">IF(AL12=$AM$5,0,AM12)</f>
        <v>0</v>
      </c>
      <c r="AO12">
        <f ca="1">IF(OR(AL12=$AM$5,AL12=$AN$5),0,AM12)</f>
        <v>0</v>
      </c>
      <c r="AP12">
        <f ca="1">IF(OR(AL12=$AM$5,AL12=$AN$5,AL12=$AO$5),0,AM12)</f>
        <v>0</v>
      </c>
      <c r="AR12">
        <f>SUM(AM$10:AM12)</f>
        <v>3</v>
      </c>
      <c r="AS12">
        <f ca="1">SUM(AN$10:AN12)</f>
        <v>2</v>
      </c>
      <c r="AT12">
        <f ca="1">SUM(AO$10:AO12)</f>
        <v>1</v>
      </c>
      <c r="AU12">
        <f ca="1">SUM(AP$10:AP12)</f>
        <v>0</v>
      </c>
    </row>
    <row r="13" spans="1:47" x14ac:dyDescent="0.3">
      <c r="A13" s="15">
        <f t="shared" si="7"/>
        <v>11</v>
      </c>
      <c r="B13" s="15">
        <f>9*$L$4</f>
        <v>0</v>
      </c>
      <c r="C13" s="15">
        <f t="shared" si="12"/>
        <v>0</v>
      </c>
      <c r="D13" s="15" t="s">
        <v>39</v>
      </c>
      <c r="E13" s="15" t="s">
        <v>42</v>
      </c>
      <c r="F13" s="16" t="str">
        <f t="shared" si="4"/>
        <v>Nomads: Village</v>
      </c>
      <c r="G13" s="16"/>
      <c r="H13" s="16">
        <f t="shared" si="5"/>
        <v>0</v>
      </c>
      <c r="I13" s="4"/>
      <c r="J13" s="4"/>
      <c r="K13" s="4"/>
      <c r="L13" s="4"/>
      <c r="M13" s="4"/>
      <c r="N13" s="4"/>
      <c r="O13" s="4"/>
      <c r="P13" s="4"/>
      <c r="AL13">
        <f t="shared" si="15"/>
        <v>4</v>
      </c>
      <c r="AM13">
        <v>1</v>
      </c>
      <c r="AN13">
        <f ca="1">IF(AL13=$AM$5,0,AM13)</f>
        <v>1</v>
      </c>
      <c r="AO13">
        <f ca="1">IF(OR(AL13=$AM$5,AL13=$AN$5),0,AM13)</f>
        <v>1</v>
      </c>
      <c r="AP13">
        <f ca="1">IF(OR(AL13=$AM$5,AL13=$AN$5,AL13=$AO$5),0,AM13)</f>
        <v>1</v>
      </c>
      <c r="AR13">
        <f>SUM(AM$10:AM13)</f>
        <v>4</v>
      </c>
      <c r="AS13">
        <f ca="1">SUM(AN$10:AN13)</f>
        <v>3</v>
      </c>
      <c r="AT13">
        <f ca="1">SUM(AO$10:AO13)</f>
        <v>2</v>
      </c>
      <c r="AU13">
        <f ca="1">SUM(AP$10:AP13)</f>
        <v>1</v>
      </c>
    </row>
    <row r="14" spans="1:47" x14ac:dyDescent="0.3">
      <c r="A14" s="15">
        <f t="shared" si="7"/>
        <v>12</v>
      </c>
      <c r="B14" s="17">
        <f>9*$L$4</f>
        <v>0</v>
      </c>
      <c r="C14" s="15">
        <f t="shared" si="12"/>
        <v>0</v>
      </c>
      <c r="D14" s="15" t="s">
        <v>39</v>
      </c>
      <c r="E14" s="15" t="s">
        <v>43</v>
      </c>
      <c r="F14" s="16" t="str">
        <f t="shared" si="4"/>
        <v>Nomads: Garden</v>
      </c>
      <c r="G14" s="16"/>
      <c r="H14" s="16">
        <f t="shared" si="5"/>
        <v>0</v>
      </c>
      <c r="I14" s="4"/>
      <c r="J14" s="4"/>
      <c r="K14" s="4"/>
      <c r="L14" s="4"/>
      <c r="M14" s="4"/>
      <c r="N14" s="4"/>
      <c r="O14" s="4"/>
      <c r="P14" s="4"/>
    </row>
    <row r="15" spans="1:47" x14ac:dyDescent="0.3">
      <c r="A15" s="15">
        <f t="shared" si="7"/>
        <v>13</v>
      </c>
      <c r="B15" s="15">
        <f t="shared" ref="B15:B18" si="16">13*$L$5</f>
        <v>13</v>
      </c>
      <c r="C15" s="15">
        <f>16*$L$5</f>
        <v>16</v>
      </c>
      <c r="D15" s="15" t="s">
        <v>53</v>
      </c>
      <c r="E15" s="15" t="s">
        <v>54</v>
      </c>
      <c r="F15" s="16" t="str">
        <f t="shared" si="4"/>
        <v>Crossroads: Lighthouse/Forester's Lodge</v>
      </c>
      <c r="G15" s="16"/>
      <c r="H15" s="16">
        <f t="shared" si="5"/>
        <v>0</v>
      </c>
      <c r="I15" s="4"/>
      <c r="J15" s="10" t="s">
        <v>100</v>
      </c>
      <c r="K15" s="4">
        <f>SUM(K17:K23)+SUM(N17:N21)</f>
        <v>0</v>
      </c>
      <c r="L15" s="4"/>
      <c r="M15" s="6"/>
      <c r="N15" s="6"/>
      <c r="O15" s="6"/>
      <c r="P15" s="16" t="s">
        <v>107</v>
      </c>
      <c r="Q15" s="19"/>
    </row>
    <row r="16" spans="1:47" x14ac:dyDescent="0.3">
      <c r="A16" s="15">
        <f t="shared" si="7"/>
        <v>14</v>
      </c>
      <c r="B16" s="15">
        <f t="shared" si="16"/>
        <v>13</v>
      </c>
      <c r="C16" s="15">
        <f t="shared" ref="C16:C18" si="17">16*$L$5</f>
        <v>16</v>
      </c>
      <c r="D16" s="15" t="s">
        <v>53</v>
      </c>
      <c r="E16" s="15" t="s">
        <v>55</v>
      </c>
      <c r="F16" s="16" t="str">
        <f t="shared" si="4"/>
        <v>Crossroads: Barracks/Crossroads</v>
      </c>
      <c r="G16" s="16"/>
      <c r="H16" s="16">
        <f t="shared" si="5"/>
        <v>0</v>
      </c>
      <c r="I16" s="4"/>
      <c r="J16" s="19"/>
      <c r="K16" s="16" t="s">
        <v>101</v>
      </c>
      <c r="L16" s="19" t="s">
        <v>104</v>
      </c>
      <c r="M16" s="19" t="s">
        <v>103</v>
      </c>
      <c r="N16" s="16" t="s">
        <v>102</v>
      </c>
      <c r="O16" s="6"/>
      <c r="P16" s="16" t="s">
        <v>93</v>
      </c>
      <c r="Q16" s="19">
        <f>SUM(M17:M21)</f>
        <v>1</v>
      </c>
    </row>
    <row r="17" spans="1:36" x14ac:dyDescent="0.3">
      <c r="A17" s="15">
        <f t="shared" si="7"/>
        <v>15</v>
      </c>
      <c r="B17" s="15">
        <f t="shared" si="16"/>
        <v>13</v>
      </c>
      <c r="C17" s="15">
        <f t="shared" si="17"/>
        <v>16</v>
      </c>
      <c r="D17" s="15" t="s">
        <v>53</v>
      </c>
      <c r="E17" s="15" t="s">
        <v>56</v>
      </c>
      <c r="F17" s="16" t="str">
        <f t="shared" si="4"/>
        <v>Crossroads: City hall/Fort</v>
      </c>
      <c r="G17" s="16"/>
      <c r="H17" s="16">
        <f t="shared" si="5"/>
        <v>0</v>
      </c>
      <c r="I17" s="4"/>
      <c r="J17" s="16" t="s">
        <v>10</v>
      </c>
      <c r="K17" s="16">
        <f>IF(K3*L3&lt;&gt;0,1,0)</f>
        <v>0</v>
      </c>
      <c r="L17" s="19">
        <v>8</v>
      </c>
      <c r="M17" s="16">
        <f>COUNTIFS($D$3:$D$26,J17,$G$3:$G$26,"&gt;0")</f>
        <v>1</v>
      </c>
      <c r="N17" s="16">
        <f>IF(M17+L3&gt;L17,1,0)</f>
        <v>0</v>
      </c>
      <c r="O17" s="4"/>
      <c r="P17" s="16" t="s">
        <v>92</v>
      </c>
      <c r="Q17" s="19">
        <f>SUM(L3:L7)</f>
        <v>1</v>
      </c>
      <c r="AA17" t="s">
        <v>37</v>
      </c>
      <c r="AB17">
        <f>IF(AB2=0,INDEX($AA22:$AA51,MATCH(AB10,AG22:AG51,0)),INDEX($A$3:$A$26,MATCH(AB2,$G$3:$G$26,0)))</f>
        <v>7</v>
      </c>
      <c r="AC17">
        <f ca="1">IF(AC2=0,INDEX($AA22:$AA51,MATCH(AC10,AH22:AH51,0)),INDEX($A$3:$A$26,MATCH(AC2,$G$3:$G$26,0)))</f>
        <v>16</v>
      </c>
      <c r="AD17">
        <f ca="1">IF(AD2=0,INDEX($AA22:$AA51,MATCH(AD10,AI22:AI51,0)),INDEX($A$3:$A$26,MATCH(AD2,$G$3:$G$26,0)))</f>
        <v>20</v>
      </c>
      <c r="AE17">
        <f ca="1">IF(AE2=0,INDEX($AA22:$AA51,MATCH(AE10,AJ22:AJ51,0)),INDEX($A$3:$A$26,MATCH(AE2,$G$3:$G$26,0)))</f>
        <v>19</v>
      </c>
    </row>
    <row r="18" spans="1:36" x14ac:dyDescent="0.3">
      <c r="A18" s="15">
        <f t="shared" si="7"/>
        <v>16</v>
      </c>
      <c r="B18" s="15">
        <f t="shared" si="16"/>
        <v>13</v>
      </c>
      <c r="C18" s="15">
        <f t="shared" si="17"/>
        <v>16</v>
      </c>
      <c r="D18" s="15" t="s">
        <v>53</v>
      </c>
      <c r="E18" s="15" t="s">
        <v>57</v>
      </c>
      <c r="F18" s="16" t="str">
        <f t="shared" si="4"/>
        <v>Crossroads: Monastery/Wagon</v>
      </c>
      <c r="G18" s="16"/>
      <c r="H18" s="16">
        <f t="shared" si="5"/>
        <v>0</v>
      </c>
      <c r="I18" s="4"/>
      <c r="J18" s="16" t="s">
        <v>39</v>
      </c>
      <c r="K18" s="16">
        <f t="shared" ref="K18:K21" si="18">IF(K4*L4&lt;&gt;0,1,0)</f>
        <v>0</v>
      </c>
      <c r="L18" s="19">
        <v>4</v>
      </c>
      <c r="M18" s="16">
        <f>COUNTIFS($D$3:$D$26,J18,$G$3:$G$26,"&gt;0")</f>
        <v>0</v>
      </c>
      <c r="N18" s="16">
        <f t="shared" ref="N18:N21" si="19">IF(M18+L4&gt;L18,1,0)</f>
        <v>0</v>
      </c>
      <c r="O18" s="4"/>
      <c r="P18" s="16" t="s">
        <v>108</v>
      </c>
      <c r="Q18" s="19">
        <f>4-Q17-Q16</f>
        <v>2</v>
      </c>
      <c r="AA18" t="s">
        <v>38</v>
      </c>
      <c r="AB18">
        <f ca="1">AM5</f>
        <v>3</v>
      </c>
      <c r="AC18">
        <f ca="1">AN5</f>
        <v>2</v>
      </c>
      <c r="AD18">
        <f ca="1">AO5</f>
        <v>1</v>
      </c>
      <c r="AE18">
        <f ca="1">AP5</f>
        <v>4</v>
      </c>
    </row>
    <row r="19" spans="1:36" x14ac:dyDescent="0.3">
      <c r="A19" s="15">
        <f t="shared" si="7"/>
        <v>17</v>
      </c>
      <c r="B19" s="15">
        <f>17*$L$6</f>
        <v>0</v>
      </c>
      <c r="C19" s="15">
        <f>20*$L$6</f>
        <v>0</v>
      </c>
      <c r="D19" s="15" t="s">
        <v>64</v>
      </c>
      <c r="E19" s="15" t="s">
        <v>65</v>
      </c>
      <c r="F19" s="16" t="str">
        <f t="shared" si="4"/>
        <v>Marshlands: Temple</v>
      </c>
      <c r="G19" s="16"/>
      <c r="H19" s="16">
        <f t="shared" si="5"/>
        <v>1</v>
      </c>
      <c r="I19" s="4"/>
      <c r="J19" s="16" t="s">
        <v>53</v>
      </c>
      <c r="K19" s="16">
        <f t="shared" si="18"/>
        <v>0</v>
      </c>
      <c r="L19" s="19">
        <v>4</v>
      </c>
      <c r="M19" s="16">
        <f>COUNTIFS($D$3:$D$26,J19,$G$3:$G$26,"&gt;0")</f>
        <v>0</v>
      </c>
      <c r="N19" s="16">
        <f t="shared" si="19"/>
        <v>0</v>
      </c>
      <c r="O19" s="4"/>
      <c r="P19" s="4"/>
    </row>
    <row r="20" spans="1:36" x14ac:dyDescent="0.3">
      <c r="A20" s="15">
        <f t="shared" si="7"/>
        <v>18</v>
      </c>
      <c r="B20" s="15">
        <f t="shared" ref="B20:B22" si="20">17*$L$6</f>
        <v>0</v>
      </c>
      <c r="C20" s="15">
        <f t="shared" ref="C20:C22" si="21">20*$L$6</f>
        <v>0</v>
      </c>
      <c r="D20" s="15" t="s">
        <v>64</v>
      </c>
      <c r="E20" s="15" t="s">
        <v>66</v>
      </c>
      <c r="F20" s="16" t="str">
        <f t="shared" si="4"/>
        <v>Marshlands: Refuge</v>
      </c>
      <c r="G20" s="16"/>
      <c r="H20" s="16">
        <f t="shared" si="5"/>
        <v>1</v>
      </c>
      <c r="I20" s="4"/>
      <c r="J20" s="16" t="s">
        <v>64</v>
      </c>
      <c r="K20" s="16">
        <f t="shared" si="18"/>
        <v>0</v>
      </c>
      <c r="L20" s="19">
        <v>4</v>
      </c>
      <c r="M20" s="16">
        <f>COUNTIFS($D$3:$D$26,J20,$G$3:$G$26,"&gt;0")</f>
        <v>0</v>
      </c>
      <c r="N20" s="16">
        <f t="shared" si="19"/>
        <v>0</v>
      </c>
      <c r="O20" s="4"/>
      <c r="P20" s="4"/>
    </row>
    <row r="21" spans="1:36" x14ac:dyDescent="0.3">
      <c r="A21" s="15">
        <f t="shared" si="7"/>
        <v>19</v>
      </c>
      <c r="B21" s="15">
        <f t="shared" si="20"/>
        <v>0</v>
      </c>
      <c r="C21" s="15">
        <f t="shared" si="21"/>
        <v>0</v>
      </c>
      <c r="D21" s="15" t="s">
        <v>64</v>
      </c>
      <c r="E21" s="15" t="s">
        <v>67</v>
      </c>
      <c r="F21" s="16" t="str">
        <f t="shared" si="4"/>
        <v>Marshlands: Canoe</v>
      </c>
      <c r="G21" s="16"/>
      <c r="H21" s="16">
        <f t="shared" si="5"/>
        <v>1</v>
      </c>
      <c r="I21" s="4"/>
      <c r="J21" s="16" t="s">
        <v>75</v>
      </c>
      <c r="K21" s="16">
        <f t="shared" si="18"/>
        <v>0</v>
      </c>
      <c r="L21" s="19">
        <v>4</v>
      </c>
      <c r="M21" s="16">
        <f>COUNTIFS($D$3:$D$26,J21,$G$3:$G$26,"&gt;0")</f>
        <v>0</v>
      </c>
      <c r="N21" s="16">
        <f t="shared" si="19"/>
        <v>0</v>
      </c>
      <c r="O21" s="4"/>
      <c r="P21" s="4"/>
      <c r="AA21" t="s">
        <v>28</v>
      </c>
      <c r="AG21" t="s">
        <v>30</v>
      </c>
    </row>
    <row r="22" spans="1:36" x14ac:dyDescent="0.3">
      <c r="A22" s="15">
        <f t="shared" si="7"/>
        <v>20</v>
      </c>
      <c r="B22" s="15">
        <f t="shared" si="20"/>
        <v>0</v>
      </c>
      <c r="C22" s="15">
        <f t="shared" si="21"/>
        <v>0</v>
      </c>
      <c r="D22" s="15" t="s">
        <v>64</v>
      </c>
      <c r="E22" s="15" t="s">
        <v>68</v>
      </c>
      <c r="F22" s="16" t="str">
        <f t="shared" si="4"/>
        <v>Marshlands: Fountain</v>
      </c>
      <c r="G22" s="16"/>
      <c r="H22" s="16">
        <f t="shared" si="5"/>
        <v>1</v>
      </c>
      <c r="I22" s="4"/>
      <c r="J22" s="4" t="s">
        <v>106</v>
      </c>
      <c r="K22" s="6">
        <f>IF(MAX(G3:G26)+SUM(L3:L7)&gt;4,1,0)</f>
        <v>0</v>
      </c>
      <c r="L22" s="4"/>
      <c r="M22" s="4"/>
      <c r="N22" s="4"/>
      <c r="O22" s="4"/>
      <c r="P22" s="4"/>
      <c r="AA22">
        <v>1</v>
      </c>
      <c r="AB22">
        <f>IF(AB$4=0,$H3*IF(AB$2&lt;&gt;0,0,1),IF(AND($AA22&gt;=AB$4,$AA22&lt;=AB$5),1,0))*IF(ISERROR(MATCH($AA22,$AA$17:AA$17,0)),1,0)</f>
        <v>0</v>
      </c>
      <c r="AC22">
        <f>IF(AC$4=0,$H3*IF(AC$2&lt;&gt;0,0,1),IF(AND($AA22&gt;=AC$4,$AA22&lt;=AC$5),1,0))*IF(ISERROR(MATCH($AA22,$AA$17:AB$17,0)),1,0)</f>
        <v>0</v>
      </c>
      <c r="AD22">
        <f ca="1">IF(AD$4=0,$H3*IF(AD$2&lt;&gt;0,0,1),IF(AND($AA22&gt;=AD$4,$AA22&lt;=AD$5),1,0))*IF(ISERROR(MATCH($AA22,$AA$17:AC$17,0)),1,0)</f>
        <v>0</v>
      </c>
      <c r="AE22">
        <f ca="1">IF(AE$4=0,$H3*IF(AE$2&lt;&gt;0,0,1),IF(AND($AA22&gt;=AE$4,$AA22&lt;=AE$5),1,0))*IF(ISERROR(MATCH($AA22,$AA$17:AD$17,0)),1,0)</f>
        <v>0</v>
      </c>
      <c r="AG22">
        <f>SUM(AB$22:AB22)</f>
        <v>0</v>
      </c>
      <c r="AH22">
        <f>SUM(AC$22:AC22)</f>
        <v>0</v>
      </c>
      <c r="AI22">
        <f ca="1">SUM(AD$22:AD22)</f>
        <v>0</v>
      </c>
      <c r="AJ22">
        <f ca="1">SUM(AE$22:AE22)</f>
        <v>0</v>
      </c>
    </row>
    <row r="23" spans="1:36" x14ac:dyDescent="0.3">
      <c r="A23" s="15">
        <f t="shared" si="7"/>
        <v>21</v>
      </c>
      <c r="B23" s="15">
        <f t="shared" ref="B23:B26" si="22">21*$L$7</f>
        <v>0</v>
      </c>
      <c r="C23" s="15">
        <f t="shared" ref="C23:C26" si="23">24*$L$7</f>
        <v>0</v>
      </c>
      <c r="D23" s="15" t="s">
        <v>75</v>
      </c>
      <c r="E23" s="15" t="s">
        <v>76</v>
      </c>
      <c r="F23" s="16" t="str">
        <f t="shared" si="4"/>
        <v>Harvest: Bazaar/Water mill</v>
      </c>
      <c r="G23" s="16"/>
      <c r="H23" s="16">
        <f t="shared" si="5"/>
        <v>0</v>
      </c>
      <c r="I23" s="4"/>
      <c r="J23" s="6" t="s">
        <v>105</v>
      </c>
      <c r="K23" s="6">
        <f>IF(AND(SUM(K3:K7)=0,SUM(M17:M21,L3:L7)&lt;&gt;4),1,0)</f>
        <v>0</v>
      </c>
      <c r="L23" s="4"/>
      <c r="M23" s="4"/>
      <c r="N23" s="4"/>
      <c r="O23" s="4"/>
      <c r="P23" s="4"/>
      <c r="AA23">
        <f t="shared" ref="AA23:AA45" si="24">AA22+1</f>
        <v>2</v>
      </c>
      <c r="AB23">
        <f>IF(AB$4=0,$H4*IF(AB$2&lt;&gt;0,0,1),IF(AND($AA23&gt;=AB$4,$AA23&lt;=AB$5),1,0))*IF(ISERROR(MATCH($AA23,$AA$17:AA$17,0)),1,0)</f>
        <v>0</v>
      </c>
      <c r="AC23">
        <f>IF(AC$4=0,$H4*IF(AC$2&lt;&gt;0,0,1),IF(AND($AA23&gt;=AC$4,$AA23&lt;=AC$5),1,0))*IF(ISERROR(MATCH($AA23,$AA$17:AB$17,0)),1,0)</f>
        <v>0</v>
      </c>
      <c r="AD23">
        <f ca="1">IF(AD$4=0,$H4*IF(AD$2&lt;&gt;0,0,1),IF(AND($AA23&gt;=AD$4,$AA23&lt;=AD$5),1,0))*IF(ISERROR(MATCH($AA23,$AA$17:AC$17,0)),1,0)</f>
        <v>0</v>
      </c>
      <c r="AE23">
        <f ca="1">IF(AE$4=0,$H4*IF(AE$2&lt;&gt;0,0,1),IF(AND($AA23&gt;=AE$4,$AA23&lt;=AE$5),1,0))*IF(ISERROR(MATCH($AA23,$AA$17:AD$17,0)),1,0)</f>
        <v>0</v>
      </c>
      <c r="AG23">
        <f>SUM(AB$22:AB23)</f>
        <v>0</v>
      </c>
      <c r="AH23">
        <f>SUM(AC$22:AC23)</f>
        <v>0</v>
      </c>
      <c r="AI23">
        <f ca="1">SUM(AD$22:AD23)</f>
        <v>0</v>
      </c>
      <c r="AJ23">
        <f ca="1">SUM(AE$22:AE23)</f>
        <v>0</v>
      </c>
    </row>
    <row r="24" spans="1:36" x14ac:dyDescent="0.3">
      <c r="A24" s="15">
        <f t="shared" si="7"/>
        <v>22</v>
      </c>
      <c r="B24" s="15">
        <f t="shared" si="22"/>
        <v>0</v>
      </c>
      <c r="C24" s="15">
        <f t="shared" si="23"/>
        <v>0</v>
      </c>
      <c r="D24" s="15" t="s">
        <v>75</v>
      </c>
      <c r="E24" s="15" t="s">
        <v>77</v>
      </c>
      <c r="F24" s="16" t="str">
        <f t="shared" si="4"/>
        <v>Harvest: Mountain station/Scout cabin</v>
      </c>
      <c r="G24" s="16"/>
      <c r="H24" s="16">
        <f t="shared" si="5"/>
        <v>0</v>
      </c>
      <c r="I24" s="4"/>
      <c r="J24" s="6"/>
      <c r="K24" s="4"/>
      <c r="L24" s="4"/>
      <c r="M24" s="4"/>
      <c r="N24" s="4"/>
      <c r="O24" s="4"/>
      <c r="P24" s="4"/>
      <c r="AA24">
        <f t="shared" si="24"/>
        <v>3</v>
      </c>
      <c r="AB24">
        <f>IF(AB$4=0,$H5*IF(AB$2&lt;&gt;0,0,1),IF(AND($AA24&gt;=AB$4,$AA24&lt;=AB$5),1,0))*IF(ISERROR(MATCH($AA24,$AA$17:AA$17,0)),1,0)</f>
        <v>0</v>
      </c>
      <c r="AC24">
        <f>IF(AC$4=0,$H5*IF(AC$2&lt;&gt;0,0,1),IF(AND($AA24&gt;=AC$4,$AA24&lt;=AC$5),1,0))*IF(ISERROR(MATCH($AA24,$AA$17:AB$17,0)),1,0)</f>
        <v>0</v>
      </c>
      <c r="AD24">
        <f ca="1">IF(AD$4=0,$H5*IF(AD$2&lt;&gt;0,0,1),IF(AND($AA24&gt;=AD$4,$AA24&lt;=AD$5),1,0))*IF(ISERROR(MATCH($AA24,$AA$17:AC$17,0)),1,0)</f>
        <v>0</v>
      </c>
      <c r="AE24">
        <f ca="1">IF(AE$4=0,$H5*IF(AE$2&lt;&gt;0,0,1),IF(AND($AA24&gt;=AE$4,$AA24&lt;=AE$5),1,0))*IF(ISERROR(MATCH($AA24,$AA$17:AD$17,0)),1,0)</f>
        <v>0</v>
      </c>
      <c r="AG24">
        <f>SUM(AB$22:AB24)</f>
        <v>0</v>
      </c>
      <c r="AH24">
        <f>SUM(AC$22:AC24)</f>
        <v>0</v>
      </c>
      <c r="AI24">
        <f ca="1">SUM(AD$22:AD24)</f>
        <v>0</v>
      </c>
      <c r="AJ24">
        <f ca="1">SUM(AE$22:AE24)</f>
        <v>0</v>
      </c>
    </row>
    <row r="25" spans="1:36" x14ac:dyDescent="0.3">
      <c r="A25" s="15">
        <f t="shared" si="7"/>
        <v>23</v>
      </c>
      <c r="B25" s="15">
        <f t="shared" si="22"/>
        <v>0</v>
      </c>
      <c r="C25" s="15">
        <f t="shared" si="23"/>
        <v>0</v>
      </c>
      <c r="D25" s="15" t="s">
        <v>75</v>
      </c>
      <c r="E25" s="15" t="s">
        <v>78</v>
      </c>
      <c r="F25" s="16" t="str">
        <f t="shared" si="4"/>
        <v>Harvest: Cathedral/Watchtower</v>
      </c>
      <c r="G25" s="16"/>
      <c r="H25" s="16">
        <f t="shared" si="5"/>
        <v>0</v>
      </c>
      <c r="I25" s="4"/>
      <c r="J25" s="6"/>
      <c r="K25" s="4"/>
      <c r="L25" s="4"/>
      <c r="M25" s="4"/>
      <c r="N25" s="4"/>
      <c r="O25" s="4"/>
      <c r="P25" s="4"/>
      <c r="AA25">
        <f t="shared" si="24"/>
        <v>4</v>
      </c>
      <c r="AB25">
        <f>IF(AB$4=0,$H6*IF(AB$2&lt;&gt;0,0,1),IF(AND($AA25&gt;=AB$4,$AA25&lt;=AB$5),1,0))*IF(ISERROR(MATCH($AA25,$AA$17:AA$17,0)),1,0)</f>
        <v>0</v>
      </c>
      <c r="AC25">
        <f>IF(AC$4=0,$H6*IF(AC$2&lt;&gt;0,0,1),IF(AND($AA25&gt;=AC$4,$AA25&lt;=AC$5),1,0))*IF(ISERROR(MATCH($AA25,$AA$17:AB$17,0)),1,0)</f>
        <v>0</v>
      </c>
      <c r="AD25">
        <f ca="1">IF(AD$4=0,$H6*IF(AD$2&lt;&gt;0,0,1),IF(AND($AA25&gt;=AD$4,$AA25&lt;=AD$5),1,0))*IF(ISERROR(MATCH($AA25,$AA$17:AC$17,0)),1,0)</f>
        <v>0</v>
      </c>
      <c r="AE25">
        <f ca="1">IF(AE$4=0,$H6*IF(AE$2&lt;&gt;0,0,1),IF(AND($AA25&gt;=AE$4,$AA25&lt;=AE$5),1,0))*IF(ISERROR(MATCH($AA25,$AA$17:AD$17,0)),1,0)</f>
        <v>0</v>
      </c>
      <c r="AG25">
        <f>SUM(AB$22:AB25)</f>
        <v>0</v>
      </c>
      <c r="AH25">
        <f>SUM(AC$22:AC25)</f>
        <v>0</v>
      </c>
      <c r="AI25">
        <f ca="1">SUM(AD$22:AD25)</f>
        <v>0</v>
      </c>
      <c r="AJ25">
        <f ca="1">SUM(AE$22:AE25)</f>
        <v>0</v>
      </c>
    </row>
    <row r="26" spans="1:36" x14ac:dyDescent="0.3">
      <c r="A26" s="15">
        <f t="shared" si="7"/>
        <v>24</v>
      </c>
      <c r="B26" s="15">
        <f t="shared" si="22"/>
        <v>0</v>
      </c>
      <c r="C26" s="15">
        <f t="shared" si="23"/>
        <v>0</v>
      </c>
      <c r="D26" s="15" t="s">
        <v>75</v>
      </c>
      <c r="E26" s="15" t="s">
        <v>79</v>
      </c>
      <c r="F26" s="16" t="str">
        <f t="shared" si="4"/>
        <v>Harvest: University/Palisade</v>
      </c>
      <c r="G26" s="16"/>
      <c r="H26" s="16">
        <f t="shared" si="5"/>
        <v>0</v>
      </c>
      <c r="I26" s="4"/>
      <c r="J26" s="4"/>
      <c r="K26" s="4"/>
      <c r="L26" s="4"/>
      <c r="M26" s="4"/>
      <c r="N26" s="4"/>
      <c r="O26" s="4"/>
      <c r="P26" s="4"/>
      <c r="AA26">
        <f t="shared" si="24"/>
        <v>5</v>
      </c>
      <c r="AB26">
        <f>IF(AB$4=0,$H7*IF(AB$2&lt;&gt;0,0,1),IF(AND($AA26&gt;=AB$4,$AA26&lt;=AB$5),1,0))*IF(ISERROR(MATCH($AA26,$AA$17:AA$17,0)),1,0)</f>
        <v>0</v>
      </c>
      <c r="AC26">
        <f>IF(AC$4=0,$H7*IF(AC$2&lt;&gt;0,0,1),IF(AND($AA26&gt;=AC$4,$AA26&lt;=AC$5),1,0))*IF(ISERROR(MATCH($AA26,$AA$17:AB$17,0)),1,0)</f>
        <v>0</v>
      </c>
      <c r="AD26">
        <f ca="1">IF(AD$4=0,$H7*IF(AD$2&lt;&gt;0,0,1),IF(AND($AA26&gt;=AD$4,$AA26&lt;=AD$5),1,0))*IF(ISERROR(MATCH($AA26,$AA$17:AC$17,0)),1,0)</f>
        <v>0</v>
      </c>
      <c r="AE26">
        <f ca="1">IF(AE$4=0,$H7*IF(AE$2&lt;&gt;0,0,1),IF(AND($AA26&gt;=AE$4,$AA26&lt;=AE$5),1,0))*IF(ISERROR(MATCH($AA26,$AA$17:AD$17,0)),1,0)</f>
        <v>0</v>
      </c>
      <c r="AG26">
        <f>SUM(AB$22:AB26)</f>
        <v>0</v>
      </c>
      <c r="AH26">
        <f>SUM(AC$22:AC26)</f>
        <v>0</v>
      </c>
      <c r="AI26">
        <f ca="1">SUM(AD$22:AD26)</f>
        <v>0</v>
      </c>
      <c r="AJ26">
        <f ca="1">SUM(AE$22:AE26)</f>
        <v>0</v>
      </c>
    </row>
    <row r="27" spans="1:36" x14ac:dyDescent="0.3">
      <c r="A27" s="4"/>
      <c r="B27" s="8"/>
      <c r="C27" s="8"/>
      <c r="D27" s="4"/>
      <c r="E27" s="4"/>
      <c r="F27" s="4"/>
      <c r="G27" s="4"/>
      <c r="H27" s="4"/>
      <c r="I27" s="4"/>
      <c r="J27" s="4"/>
      <c r="K27" s="4"/>
      <c r="L27" s="4"/>
      <c r="M27" s="4"/>
      <c r="N27" s="4"/>
      <c r="O27" s="4"/>
      <c r="P27" s="4"/>
      <c r="AA27">
        <f t="shared" si="24"/>
        <v>6</v>
      </c>
      <c r="AB27">
        <f>IF(AB$4=0,$H8*IF(AB$2&lt;&gt;0,0,1),IF(AND($AA27&gt;=AB$4,$AA27&lt;=AB$5),1,0))*IF(ISERROR(MATCH($AA27,$AA$17:AA$17,0)),1,0)</f>
        <v>0</v>
      </c>
      <c r="AC27">
        <f>IF(AC$4=0,$H8*IF(AC$2&lt;&gt;0,0,1),IF(AND($AA27&gt;=AC$4,$AA27&lt;=AC$5),1,0))*IF(ISERROR(MATCH($AA27,$AA$17:AB$17,0)),1,0)</f>
        <v>0</v>
      </c>
      <c r="AD27">
        <f ca="1">IF(AD$4=0,$H8*IF(AD$2&lt;&gt;0,0,1),IF(AND($AA27&gt;=AD$4,$AA27&lt;=AD$5),1,0))*IF(ISERROR(MATCH($AA27,$AA$17:AC$17,0)),1,0)</f>
        <v>0</v>
      </c>
      <c r="AE27">
        <f ca="1">IF(AE$4=0,$H8*IF(AE$2&lt;&gt;0,0,1),IF(AND($AA27&gt;=AE$4,$AA27&lt;=AE$5),1,0))*IF(ISERROR(MATCH($AA27,$AA$17:AD$17,0)),1,0)</f>
        <v>0</v>
      </c>
      <c r="AG27">
        <f>SUM(AB$22:AB27)</f>
        <v>0</v>
      </c>
      <c r="AH27">
        <f>SUM(AC$22:AC27)</f>
        <v>0</v>
      </c>
      <c r="AI27">
        <f ca="1">SUM(AD$22:AD27)</f>
        <v>0</v>
      </c>
      <c r="AJ27">
        <f ca="1">SUM(AE$22:AE27)</f>
        <v>0</v>
      </c>
    </row>
    <row r="28" spans="1:36" x14ac:dyDescent="0.3">
      <c r="AA28">
        <f t="shared" si="24"/>
        <v>7</v>
      </c>
      <c r="AB28">
        <f>IF(AB$4=0,$H9*IF(AB$2&lt;&gt;0,0,1),IF(AND($AA28&gt;=AB$4,$AA28&lt;=AB$5),1,0))*IF(ISERROR(MATCH($AA28,$AA$17:AA$17,0)),1,0)</f>
        <v>0</v>
      </c>
      <c r="AC28">
        <f>IF(AC$4=0,$H9*IF(AC$2&lt;&gt;0,0,1),IF(AND($AA28&gt;=AC$4,$AA28&lt;=AC$5),1,0))*IF(ISERROR(MATCH($AA28,$AA$17:AB$17,0)),1,0)</f>
        <v>0</v>
      </c>
      <c r="AD28">
        <f>IF(AD$4=0,$H9*IF(AD$2&lt;&gt;0,0,1),IF(AND($AA28&gt;=AD$4,$AA28&lt;=AD$5),1,0))*IF(ISERROR(MATCH($AA28,$AA$17:AC$17,0)),1,0)</f>
        <v>0</v>
      </c>
      <c r="AE28">
        <f>IF(AE$4=0,$H9*IF(AE$2&lt;&gt;0,0,1),IF(AND($AA28&gt;=AE$4,$AA28&lt;=AE$5),1,0))*IF(ISERROR(MATCH($AA28,$AA$17:AD$17,0)),1,0)</f>
        <v>0</v>
      </c>
      <c r="AG28">
        <f>SUM(AB$22:AB28)</f>
        <v>0</v>
      </c>
      <c r="AH28">
        <f>SUM(AC$22:AC28)</f>
        <v>0</v>
      </c>
      <c r="AI28">
        <f ca="1">SUM(AD$22:AD28)</f>
        <v>0</v>
      </c>
      <c r="AJ28">
        <f ca="1">SUM(AE$22:AE28)</f>
        <v>0</v>
      </c>
    </row>
    <row r="29" spans="1:36" x14ac:dyDescent="0.3">
      <c r="D29" s="184" t="s">
        <v>12</v>
      </c>
      <c r="E29" s="185"/>
      <c r="AA29">
        <f t="shared" si="24"/>
        <v>8</v>
      </c>
      <c r="AB29">
        <f>IF(AB$4=0,$H10*IF(AB$2&lt;&gt;0,0,1),IF(AND($AA29&gt;=AB$4,$AA29&lt;=AB$5),1,0))*IF(ISERROR(MATCH($AA29,$AA$17:AA$17,0)),1,0)</f>
        <v>0</v>
      </c>
      <c r="AC29">
        <f>IF(AC$4=0,$H10*IF(AC$2&lt;&gt;0,0,1),IF(AND($AA29&gt;=AC$4,$AA29&lt;=AC$5),1,0))*IF(ISERROR(MATCH($AA29,$AA$17:AB$17,0)),1,0)</f>
        <v>0</v>
      </c>
      <c r="AD29">
        <f ca="1">IF(AD$4=0,$H10*IF(AD$2&lt;&gt;0,0,1),IF(AND($AA29&gt;=AD$4,$AA29&lt;=AD$5),1,0))*IF(ISERROR(MATCH($AA29,$AA$17:AC$17,0)),1,0)</f>
        <v>0</v>
      </c>
      <c r="AE29">
        <f ca="1">IF(AE$4=0,$H10*IF(AE$2&lt;&gt;0,0,1),IF(AND($AA29&gt;=AE$4,$AA29&lt;=AE$5),1,0))*IF(ISERROR(MATCH($AA29,$AA$17:AD$17,0)),1,0)</f>
        <v>0</v>
      </c>
      <c r="AG29">
        <f>SUM(AB$22:AB29)</f>
        <v>0</v>
      </c>
      <c r="AH29">
        <f>SUM(AC$22:AC29)</f>
        <v>0</v>
      </c>
      <c r="AI29">
        <f ca="1">SUM(AD$22:AD29)</f>
        <v>0</v>
      </c>
      <c r="AJ29">
        <f ca="1">SUM(AE$22:AE29)</f>
        <v>0</v>
      </c>
    </row>
    <row r="30" spans="1:36" x14ac:dyDescent="0.3">
      <c r="D30" s="186"/>
      <c r="E30" s="187"/>
      <c r="AA30">
        <f t="shared" si="24"/>
        <v>9</v>
      </c>
      <c r="AB30">
        <f>IF(AB$4=0,$H11*IF(AB$2&lt;&gt;0,0,1),IF(AND($AA30&gt;=AB$4,$AA30&lt;=AB$5),1,0))*IF(ISERROR(MATCH($AA30,$AA$17:AA$17,0)),1,0)</f>
        <v>0</v>
      </c>
      <c r="AC30">
        <f>IF(AC$4=0,$H11*IF(AC$2&lt;&gt;0,0,1),IF(AND($AA30&gt;=AC$4,$AA30&lt;=AC$5),1,0))*IF(ISERROR(MATCH($AA30,$AA$17:AB$17,0)),1,0)</f>
        <v>0</v>
      </c>
      <c r="AD30">
        <f ca="1">IF(AD$4=0,$H11*IF(AD$2&lt;&gt;0,0,1),IF(AND($AA30&gt;=AD$4,$AA30&lt;=AD$5),1,0))*IF(ISERROR(MATCH($AA30,$AA$17:AC$17,0)),1,0)</f>
        <v>0</v>
      </c>
      <c r="AE30">
        <f ca="1">IF(AE$4=0,$H11*IF(AE$2&lt;&gt;0,0,1),IF(AND($AA30&gt;=AE$4,$AA30&lt;=AE$5),1,0))*IF(ISERROR(MATCH($AA30,$AA$17:AD$17,0)),1,0)</f>
        <v>0</v>
      </c>
      <c r="AG30">
        <f>SUM(AB$22:AB30)</f>
        <v>0</v>
      </c>
      <c r="AH30">
        <f>SUM(AC$22:AC30)</f>
        <v>0</v>
      </c>
      <c r="AI30">
        <f ca="1">SUM(AD$22:AD30)</f>
        <v>0</v>
      </c>
      <c r="AJ30">
        <f ca="1">SUM(AE$22:AE30)</f>
        <v>0</v>
      </c>
    </row>
    <row r="31" spans="1:36" x14ac:dyDescent="0.3">
      <c r="A31" s="3">
        <v>1</v>
      </c>
      <c r="B31" s="7"/>
      <c r="C31" s="7"/>
      <c r="D31" s="3" t="s">
        <v>10</v>
      </c>
      <c r="E31" s="3" t="s">
        <v>8</v>
      </c>
      <c r="F31" s="4" t="str">
        <f t="shared" ref="F31:F55" si="25">IF(INDEX($K$3:$K$7,MATCH(D31,$J$3:$J$7,0))=1,D31&amp;": "&amp;E31,"")</f>
        <v/>
      </c>
      <c r="H31" s="4">
        <f t="shared" ref="H31:H55" si="26">IF(INDEX($K$3:$K$7,MATCH(D31,$J$3:$J$7,0))=1,1,0)</f>
        <v>0</v>
      </c>
      <c r="AA31">
        <f t="shared" si="24"/>
        <v>10</v>
      </c>
      <c r="AB31">
        <f>IF(AB$4=0,$H12*IF(AB$2&lt;&gt;0,0,1),IF(AND($AA31&gt;=AB$4,$AA31&lt;=AB$5),1,0))*IF(ISERROR(MATCH($AA31,$AA$17:AA$17,0)),1,0)</f>
        <v>0</v>
      </c>
      <c r="AC31">
        <f>IF(AC$4=0,$H12*IF(AC$2&lt;&gt;0,0,1),IF(AND($AA31&gt;=AC$4,$AA31&lt;=AC$5),1,0))*IF(ISERROR(MATCH($AA31,$AA$17:AB$17,0)),1,0)</f>
        <v>0</v>
      </c>
      <c r="AD31">
        <f ca="1">IF(AD$4=0,$H12*IF(AD$2&lt;&gt;0,0,1),IF(AND($AA31&gt;=AD$4,$AA31&lt;=AD$5),1,0))*IF(ISERROR(MATCH($AA31,$AA$17:AC$17,0)),1,0)</f>
        <v>0</v>
      </c>
      <c r="AE31">
        <f ca="1">IF(AE$4=0,$H12*IF(AE$2&lt;&gt;0,0,1),IF(AND($AA31&gt;=AE$4,$AA31&lt;=AE$5),1,0))*IF(ISERROR(MATCH($AA31,$AA$17:AD$17,0)),1,0)</f>
        <v>0</v>
      </c>
      <c r="AG31">
        <f>SUM(AB$22:AB31)</f>
        <v>0</v>
      </c>
      <c r="AH31">
        <f>SUM(AC$22:AC31)</f>
        <v>0</v>
      </c>
      <c r="AI31">
        <f ca="1">SUM(AD$22:AD31)</f>
        <v>0</v>
      </c>
      <c r="AJ31">
        <f ca="1">SUM(AE$22:AE31)</f>
        <v>0</v>
      </c>
    </row>
    <row r="32" spans="1:36" x14ac:dyDescent="0.3">
      <c r="A32" s="3">
        <f>A31+1</f>
        <v>2</v>
      </c>
      <c r="B32" s="7"/>
      <c r="C32" s="7"/>
      <c r="D32" s="3" t="s">
        <v>10</v>
      </c>
      <c r="E32" s="3" t="s">
        <v>9</v>
      </c>
      <c r="F32" s="4" t="str">
        <f t="shared" si="25"/>
        <v/>
      </c>
      <c r="H32" s="4">
        <f t="shared" si="26"/>
        <v>0</v>
      </c>
      <c r="AA32">
        <f t="shared" si="24"/>
        <v>11</v>
      </c>
      <c r="AB32">
        <f>IF(AB$4=0,$H13*IF(AB$2&lt;&gt;0,0,1),IF(AND($AA32&gt;=AB$4,$AA32&lt;=AB$5),1,0))*IF(ISERROR(MATCH($AA32,$AA$17:AA$17,0)),1,0)</f>
        <v>0</v>
      </c>
      <c r="AC32">
        <f>IF(AC$4=0,$H13*IF(AC$2&lt;&gt;0,0,1),IF(AND($AA32&gt;=AC$4,$AA32&lt;=AC$5),1,0))*IF(ISERROR(MATCH($AA32,$AA$17:AB$17,0)),1,0)</f>
        <v>0</v>
      </c>
      <c r="AD32">
        <f ca="1">IF(AD$4=0,$H13*IF(AD$2&lt;&gt;0,0,1),IF(AND($AA32&gt;=AD$4,$AA32&lt;=AD$5),1,0))*IF(ISERROR(MATCH($AA32,$AA$17:AC$17,0)),1,0)</f>
        <v>0</v>
      </c>
      <c r="AE32">
        <f ca="1">IF(AE$4=0,$H13*IF(AE$2&lt;&gt;0,0,1),IF(AND($AA32&gt;=AE$4,$AA32&lt;=AE$5),1,0))*IF(ISERROR(MATCH($AA32,$AA$17:AD$17,0)),1,0)</f>
        <v>0</v>
      </c>
      <c r="AG32">
        <f>SUM(AB$22:AB32)</f>
        <v>0</v>
      </c>
      <c r="AH32">
        <f>SUM(AC$22:AC32)</f>
        <v>0</v>
      </c>
      <c r="AI32">
        <f ca="1">SUM(AD$22:AD32)</f>
        <v>0</v>
      </c>
      <c r="AJ32">
        <f ca="1">SUM(AE$22:AE32)</f>
        <v>0</v>
      </c>
    </row>
    <row r="33" spans="1:36" x14ac:dyDescent="0.3">
      <c r="A33" s="3">
        <f t="shared" ref="A33:A55" si="27">A32+1</f>
        <v>3</v>
      </c>
      <c r="B33" s="7"/>
      <c r="C33" s="7"/>
      <c r="D33" s="3" t="s">
        <v>10</v>
      </c>
      <c r="E33" s="3" t="s">
        <v>18</v>
      </c>
      <c r="F33" s="4" t="str">
        <f t="shared" si="25"/>
        <v/>
      </c>
      <c r="H33" s="4">
        <f t="shared" si="26"/>
        <v>0</v>
      </c>
      <c r="AA33">
        <f t="shared" si="24"/>
        <v>12</v>
      </c>
      <c r="AB33">
        <f>IF(AB$4=0,$H14*IF(AB$2&lt;&gt;0,0,1),IF(AND($AA33&gt;=AB$4,$AA33&lt;=AB$5),1,0))*IF(ISERROR(MATCH($AA33,$AA$17:AA$17,0)),1,0)</f>
        <v>0</v>
      </c>
      <c r="AC33">
        <f>IF(AC$4=0,$H14*IF(AC$2&lt;&gt;0,0,1),IF(AND($AA33&gt;=AC$4,$AA33&lt;=AC$5),1,0))*IF(ISERROR(MATCH($AA33,$AA$17:AB$17,0)),1,0)</f>
        <v>0</v>
      </c>
      <c r="AD33">
        <f ca="1">IF(AD$4=0,$H14*IF(AD$2&lt;&gt;0,0,1),IF(AND($AA33&gt;=AD$4,$AA33&lt;=AD$5),1,0))*IF(ISERROR(MATCH($AA33,$AA$17:AC$17,0)),1,0)</f>
        <v>0</v>
      </c>
      <c r="AE33">
        <f ca="1">IF(AE$4=0,$H14*IF(AE$2&lt;&gt;0,0,1),IF(AND($AA33&gt;=AE$4,$AA33&lt;=AE$5),1,0))*IF(ISERROR(MATCH($AA33,$AA$17:AD$17,0)),1,0)</f>
        <v>0</v>
      </c>
      <c r="AG33">
        <f>SUM(AB$22:AB33)</f>
        <v>0</v>
      </c>
      <c r="AH33">
        <f>SUM(AC$22:AC33)</f>
        <v>0</v>
      </c>
      <c r="AI33">
        <f ca="1">SUM(AD$22:AD33)</f>
        <v>0</v>
      </c>
      <c r="AJ33">
        <f ca="1">SUM(AE$22:AE33)</f>
        <v>0</v>
      </c>
    </row>
    <row r="34" spans="1:36" x14ac:dyDescent="0.3">
      <c r="A34" s="3">
        <f t="shared" si="27"/>
        <v>4</v>
      </c>
      <c r="B34" s="7"/>
      <c r="C34" s="7"/>
      <c r="D34" s="3" t="s">
        <v>10</v>
      </c>
      <c r="E34" s="3" t="s">
        <v>19</v>
      </c>
      <c r="F34" s="4" t="str">
        <f t="shared" si="25"/>
        <v/>
      </c>
      <c r="H34" s="4">
        <f t="shared" si="26"/>
        <v>0</v>
      </c>
      <c r="AA34">
        <f t="shared" si="24"/>
        <v>13</v>
      </c>
      <c r="AB34">
        <f>IF(AB$4=0,$H15*IF(AB$2&lt;&gt;0,0,1),IF(AND($AA34&gt;=AB$4,$AA34&lt;=AB$5),1,0))*IF(ISERROR(MATCH($AA34,$AA$17:AA$17,0)),1,0)</f>
        <v>0</v>
      </c>
      <c r="AC34">
        <f>IF(AC$4=0,$H15*IF(AC$2&lt;&gt;0,0,1),IF(AND($AA34&gt;=AC$4,$AA34&lt;=AC$5),1,0))*IF(ISERROR(MATCH($AA34,$AA$17:AB$17,0)),1,0)</f>
        <v>1</v>
      </c>
      <c r="AD34">
        <f ca="1">IF(AD$4=0,$H15*IF(AD$2&lt;&gt;0,0,1),IF(AND($AA34&gt;=AD$4,$AA34&lt;=AD$5),1,0))*IF(ISERROR(MATCH($AA34,$AA$17:AC$17,0)),1,0)</f>
        <v>0</v>
      </c>
      <c r="AE34">
        <f ca="1">IF(AE$4=0,$H15*IF(AE$2&lt;&gt;0,0,1),IF(AND($AA34&gt;=AE$4,$AA34&lt;=AE$5),1,0))*IF(ISERROR(MATCH($AA34,$AA$17:AD$17,0)),1,0)</f>
        <v>0</v>
      </c>
      <c r="AG34">
        <f>SUM(AB$22:AB34)</f>
        <v>0</v>
      </c>
      <c r="AH34">
        <f>SUM(AC$22:AC34)</f>
        <v>1</v>
      </c>
      <c r="AI34">
        <f ca="1">SUM(AD$22:AD34)</f>
        <v>0</v>
      </c>
      <c r="AJ34">
        <f ca="1">SUM(AE$22:AE34)</f>
        <v>0</v>
      </c>
    </row>
    <row r="35" spans="1:36" x14ac:dyDescent="0.3">
      <c r="A35" s="3">
        <f t="shared" si="27"/>
        <v>5</v>
      </c>
      <c r="B35" s="7"/>
      <c r="C35" s="7"/>
      <c r="D35" s="3" t="s">
        <v>10</v>
      </c>
      <c r="E35" s="3" t="s">
        <v>20</v>
      </c>
      <c r="F35" s="4" t="str">
        <f t="shared" si="25"/>
        <v/>
      </c>
      <c r="H35" s="4">
        <f t="shared" si="26"/>
        <v>0</v>
      </c>
      <c r="AA35">
        <f t="shared" si="24"/>
        <v>14</v>
      </c>
      <c r="AB35">
        <f>IF(AB$4=0,$H16*IF(AB$2&lt;&gt;0,0,1),IF(AND($AA35&gt;=AB$4,$AA35&lt;=AB$5),1,0))*IF(ISERROR(MATCH($AA35,$AA$17:AA$17,0)),1,0)</f>
        <v>0</v>
      </c>
      <c r="AC35">
        <f>IF(AC$4=0,$H16*IF(AC$2&lt;&gt;0,0,1),IF(AND($AA35&gt;=AC$4,$AA35&lt;=AC$5),1,0))*IF(ISERROR(MATCH($AA35,$AA$17:AB$17,0)),1,0)</f>
        <v>1</v>
      </c>
      <c r="AD35">
        <f ca="1">IF(AD$4=0,$H16*IF(AD$2&lt;&gt;0,0,1),IF(AND($AA35&gt;=AD$4,$AA35&lt;=AD$5),1,0))*IF(ISERROR(MATCH($AA35,$AA$17:AC$17,0)),1,0)</f>
        <v>0</v>
      </c>
      <c r="AE35">
        <f ca="1">IF(AE$4=0,$H16*IF(AE$2&lt;&gt;0,0,1),IF(AND($AA35&gt;=AE$4,$AA35&lt;=AE$5),1,0))*IF(ISERROR(MATCH($AA35,$AA$17:AD$17,0)),1,0)</f>
        <v>0</v>
      </c>
      <c r="AG35">
        <f>SUM(AB$22:AB35)</f>
        <v>0</v>
      </c>
      <c r="AH35">
        <f>SUM(AC$22:AC35)</f>
        <v>2</v>
      </c>
      <c r="AI35">
        <f ca="1">SUM(AD$22:AD35)</f>
        <v>0</v>
      </c>
      <c r="AJ35">
        <f ca="1">SUM(AE$22:AE35)</f>
        <v>0</v>
      </c>
    </row>
    <row r="36" spans="1:36" x14ac:dyDescent="0.3">
      <c r="A36" s="3">
        <f t="shared" si="27"/>
        <v>6</v>
      </c>
      <c r="B36" s="7"/>
      <c r="C36" s="7"/>
      <c r="D36" s="3" t="s">
        <v>10</v>
      </c>
      <c r="E36" s="3" t="s">
        <v>21</v>
      </c>
      <c r="F36" s="4" t="str">
        <f t="shared" si="25"/>
        <v/>
      </c>
      <c r="H36" s="4">
        <f t="shared" si="26"/>
        <v>0</v>
      </c>
      <c r="AA36">
        <f t="shared" si="24"/>
        <v>15</v>
      </c>
      <c r="AB36">
        <f>IF(AB$4=0,$H17*IF(AB$2&lt;&gt;0,0,1),IF(AND($AA36&gt;=AB$4,$AA36&lt;=AB$5),1,0))*IF(ISERROR(MATCH($AA36,$AA$17:AA$17,0)),1,0)</f>
        <v>0</v>
      </c>
      <c r="AC36">
        <f>IF(AC$4=0,$H17*IF(AC$2&lt;&gt;0,0,1),IF(AND($AA36&gt;=AC$4,$AA36&lt;=AC$5),1,0))*IF(ISERROR(MATCH($AA36,$AA$17:AB$17,0)),1,0)</f>
        <v>1</v>
      </c>
      <c r="AD36">
        <f ca="1">IF(AD$4=0,$H17*IF(AD$2&lt;&gt;0,0,1),IF(AND($AA36&gt;=AD$4,$AA36&lt;=AD$5),1,0))*IF(ISERROR(MATCH($AA36,$AA$17:AC$17,0)),1,0)</f>
        <v>0</v>
      </c>
      <c r="AE36">
        <f ca="1">IF(AE$4=0,$H17*IF(AE$2&lt;&gt;0,0,1),IF(AND($AA36&gt;=AE$4,$AA36&lt;=AE$5),1,0))*IF(ISERROR(MATCH($AA36,$AA$17:AD$17,0)),1,0)</f>
        <v>0</v>
      </c>
      <c r="AG36">
        <f>SUM(AB$22:AB36)</f>
        <v>0</v>
      </c>
      <c r="AH36">
        <f>SUM(AC$22:AC36)</f>
        <v>3</v>
      </c>
      <c r="AI36">
        <f ca="1">SUM(AD$22:AD36)</f>
        <v>0</v>
      </c>
      <c r="AJ36">
        <f ca="1">SUM(AE$22:AE36)</f>
        <v>0</v>
      </c>
    </row>
    <row r="37" spans="1:36" x14ac:dyDescent="0.3">
      <c r="A37" s="3">
        <f t="shared" si="27"/>
        <v>7</v>
      </c>
      <c r="B37" s="7"/>
      <c r="C37" s="7"/>
      <c r="D37" s="3" t="s">
        <v>10</v>
      </c>
      <c r="E37" s="3" t="s">
        <v>22</v>
      </c>
      <c r="F37" s="4" t="str">
        <f t="shared" si="25"/>
        <v/>
      </c>
      <c r="H37" s="4">
        <f t="shared" si="26"/>
        <v>0</v>
      </c>
      <c r="AA37">
        <f t="shared" si="24"/>
        <v>16</v>
      </c>
      <c r="AB37">
        <f>IF(AB$4=0,$H18*IF(AB$2&lt;&gt;0,0,1),IF(AND($AA37&gt;=AB$4,$AA37&lt;=AB$5),1,0))*IF(ISERROR(MATCH($AA37,$AA$17:AA$17,0)),1,0)</f>
        <v>0</v>
      </c>
      <c r="AC37">
        <f>IF(AC$4=0,$H18*IF(AC$2&lt;&gt;0,0,1),IF(AND($AA37&gt;=AC$4,$AA37&lt;=AC$5),1,0))*IF(ISERROR(MATCH($AA37,$AA$17:AB$17,0)),1,0)</f>
        <v>1</v>
      </c>
      <c r="AD37">
        <f ca="1">IF(AD$4=0,$H18*IF(AD$2&lt;&gt;0,0,1),IF(AND($AA37&gt;=AD$4,$AA37&lt;=AD$5),1,0))*IF(ISERROR(MATCH($AA37,$AA$17:AC$17,0)),1,0)</f>
        <v>0</v>
      </c>
      <c r="AE37">
        <f ca="1">IF(AE$4=0,$H18*IF(AE$2&lt;&gt;0,0,1),IF(AND($AA37&gt;=AE$4,$AA37&lt;=AE$5),1,0))*IF(ISERROR(MATCH($AA37,$AA$17:AD$17,0)),1,0)</f>
        <v>0</v>
      </c>
      <c r="AG37">
        <f>SUM(AB$22:AB37)</f>
        <v>0</v>
      </c>
      <c r="AH37">
        <f>SUM(AC$22:AC37)</f>
        <v>4</v>
      </c>
      <c r="AI37">
        <f ca="1">SUM(AD$22:AD37)</f>
        <v>0</v>
      </c>
      <c r="AJ37">
        <f ca="1">SUM(AE$22:AE37)</f>
        <v>0</v>
      </c>
    </row>
    <row r="38" spans="1:36" x14ac:dyDescent="0.3">
      <c r="A38" s="3">
        <f t="shared" si="27"/>
        <v>8</v>
      </c>
      <c r="B38" s="7"/>
      <c r="C38" s="7"/>
      <c r="D38" s="3" t="s">
        <v>10</v>
      </c>
      <c r="E38" s="3" t="s">
        <v>23</v>
      </c>
      <c r="F38" s="4" t="str">
        <f t="shared" si="25"/>
        <v/>
      </c>
      <c r="H38" s="4">
        <f t="shared" si="26"/>
        <v>0</v>
      </c>
      <c r="AA38">
        <f t="shared" si="24"/>
        <v>17</v>
      </c>
      <c r="AB38">
        <f>IF(AB$4=0,$H19*IF(AB$2&lt;&gt;0,0,1),IF(AND($AA38&gt;=AB$4,$AA38&lt;=AB$5),1,0))*IF(ISERROR(MATCH($AA38,$AA$17:AA$17,0)),1,0)</f>
        <v>0</v>
      </c>
      <c r="AC38">
        <f>IF(AC$4=0,$H19*IF(AC$2&lt;&gt;0,0,1),IF(AND($AA38&gt;=AC$4,$AA38&lt;=AC$5),1,0))*IF(ISERROR(MATCH($AA38,$AA$17:AB$17,0)),1,0)</f>
        <v>0</v>
      </c>
      <c r="AD38">
        <f ca="1">IF(AD$4=0,$H19*IF(AD$2&lt;&gt;0,0,1),IF(AND($AA38&gt;=AD$4,$AA38&lt;=AD$5),1,0))*IF(ISERROR(MATCH($AA38,$AA$17:AC$17,0)),1,0)</f>
        <v>1</v>
      </c>
      <c r="AE38">
        <f ca="1">IF(AE$4=0,$H19*IF(AE$2&lt;&gt;0,0,1),IF(AND($AA38&gt;=AE$4,$AA38&lt;=AE$5),1,0))*IF(ISERROR(MATCH($AA38,$AA$17:AD$17,0)),1,0)</f>
        <v>1</v>
      </c>
      <c r="AG38">
        <f>SUM(AB$22:AB38)</f>
        <v>0</v>
      </c>
      <c r="AH38">
        <f>SUM(AC$22:AC38)</f>
        <v>4</v>
      </c>
      <c r="AI38">
        <f ca="1">SUM(AD$22:AD38)</f>
        <v>1</v>
      </c>
      <c r="AJ38">
        <f ca="1">SUM(AE$22:AE38)</f>
        <v>1</v>
      </c>
    </row>
    <row r="39" spans="1:36" x14ac:dyDescent="0.3">
      <c r="A39" s="3">
        <f t="shared" si="27"/>
        <v>9</v>
      </c>
      <c r="B39" s="7"/>
      <c r="C39" s="7"/>
      <c r="D39" s="3" t="s">
        <v>10</v>
      </c>
      <c r="E39" s="3" t="s">
        <v>24</v>
      </c>
      <c r="F39" s="4" t="str">
        <f t="shared" si="25"/>
        <v/>
      </c>
      <c r="H39" s="4">
        <f t="shared" si="26"/>
        <v>0</v>
      </c>
      <c r="AA39">
        <f t="shared" si="24"/>
        <v>18</v>
      </c>
      <c r="AB39">
        <f>IF(AB$4=0,$H20*IF(AB$2&lt;&gt;0,0,1),IF(AND($AA39&gt;=AB$4,$AA39&lt;=AB$5),1,0))*IF(ISERROR(MATCH($AA39,$AA$17:AA$17,0)),1,0)</f>
        <v>0</v>
      </c>
      <c r="AC39">
        <f>IF(AC$4=0,$H20*IF(AC$2&lt;&gt;0,0,1),IF(AND($AA39&gt;=AC$4,$AA39&lt;=AC$5),1,0))*IF(ISERROR(MATCH($AA39,$AA$17:AB$17,0)),1,0)</f>
        <v>0</v>
      </c>
      <c r="AD39">
        <f ca="1">IF(AD$4=0,$H20*IF(AD$2&lt;&gt;0,0,1),IF(AND($AA39&gt;=AD$4,$AA39&lt;=AD$5),1,0))*IF(ISERROR(MATCH($AA39,$AA$17:AC$17,0)),1,0)</f>
        <v>1</v>
      </c>
      <c r="AE39">
        <f ca="1">IF(AE$4=0,$H20*IF(AE$2&lt;&gt;0,0,1),IF(AND($AA39&gt;=AE$4,$AA39&lt;=AE$5),1,0))*IF(ISERROR(MATCH($AA39,$AA$17:AD$17,0)),1,0)</f>
        <v>1</v>
      </c>
      <c r="AG39">
        <f>SUM(AB$22:AB39)</f>
        <v>0</v>
      </c>
      <c r="AH39">
        <f>SUM(AC$22:AC39)</f>
        <v>4</v>
      </c>
      <c r="AI39">
        <f ca="1">SUM(AD$22:AD39)</f>
        <v>2</v>
      </c>
      <c r="AJ39">
        <f ca="1">SUM(AE$22:AE39)</f>
        <v>2</v>
      </c>
    </row>
    <row r="40" spans="1:36" x14ac:dyDescent="0.3">
      <c r="A40" s="3">
        <f t="shared" si="27"/>
        <v>10</v>
      </c>
      <c r="B40" s="7"/>
      <c r="C40" s="7"/>
      <c r="D40" s="3" t="s">
        <v>10</v>
      </c>
      <c r="E40" s="3" t="s">
        <v>25</v>
      </c>
      <c r="F40" s="4" t="str">
        <f t="shared" si="25"/>
        <v/>
      </c>
      <c r="H40" s="4">
        <f t="shared" si="26"/>
        <v>0</v>
      </c>
      <c r="AA40">
        <f t="shared" si="24"/>
        <v>19</v>
      </c>
      <c r="AB40">
        <f>IF(AB$4=0,$H21*IF(AB$2&lt;&gt;0,0,1),IF(AND($AA40&gt;=AB$4,$AA40&lt;=AB$5),1,0))*IF(ISERROR(MATCH($AA40,$AA$17:AA$17,0)),1,0)</f>
        <v>0</v>
      </c>
      <c r="AC40">
        <f>IF(AC$4=0,$H21*IF(AC$2&lt;&gt;0,0,1),IF(AND($AA40&gt;=AC$4,$AA40&lt;=AC$5),1,0))*IF(ISERROR(MATCH($AA40,$AA$17:AB$17,0)),1,0)</f>
        <v>0</v>
      </c>
      <c r="AD40">
        <f ca="1">IF(AD$4=0,$H21*IF(AD$2&lt;&gt;0,0,1),IF(AND($AA40&gt;=AD$4,$AA40&lt;=AD$5),1,0))*IF(ISERROR(MATCH($AA40,$AA$17:AC$17,0)),1,0)</f>
        <v>1</v>
      </c>
      <c r="AE40">
        <f ca="1">IF(AE$4=0,$H21*IF(AE$2&lt;&gt;0,0,1),IF(AND($AA40&gt;=AE$4,$AA40&lt;=AE$5),1,0))*IF(ISERROR(MATCH($AA40,$AA$17:AD$17,0)),1,0)</f>
        <v>1</v>
      </c>
      <c r="AG40">
        <f>SUM(AB$22:AB40)</f>
        <v>0</v>
      </c>
      <c r="AH40">
        <f>SUM(AC$22:AC40)</f>
        <v>4</v>
      </c>
      <c r="AI40">
        <f ca="1">SUM(AD$22:AD40)</f>
        <v>3</v>
      </c>
      <c r="AJ40">
        <f ca="1">SUM(AE$22:AE40)</f>
        <v>3</v>
      </c>
    </row>
    <row r="41" spans="1:36" x14ac:dyDescent="0.3">
      <c r="A41" s="3">
        <f t="shared" si="27"/>
        <v>11</v>
      </c>
      <c r="B41" s="7"/>
      <c r="C41" s="7"/>
      <c r="D41" s="3" t="s">
        <v>39</v>
      </c>
      <c r="E41" s="3" t="s">
        <v>44</v>
      </c>
      <c r="F41" s="4" t="str">
        <f t="shared" si="25"/>
        <v/>
      </c>
      <c r="H41" s="4">
        <f t="shared" si="26"/>
        <v>0</v>
      </c>
      <c r="AA41">
        <f t="shared" si="24"/>
        <v>20</v>
      </c>
      <c r="AB41">
        <f>IF(AB$4=0,$H22*IF(AB$2&lt;&gt;0,0,1),IF(AND($AA41&gt;=AB$4,$AA41&lt;=AB$5),1,0))*IF(ISERROR(MATCH($AA41,$AA$17:AA$17,0)),1,0)</f>
        <v>0</v>
      </c>
      <c r="AC41">
        <f>IF(AC$4=0,$H22*IF(AC$2&lt;&gt;0,0,1),IF(AND($AA41&gt;=AC$4,$AA41&lt;=AC$5),1,0))*IF(ISERROR(MATCH($AA41,$AA$17:AB$17,0)),1,0)</f>
        <v>0</v>
      </c>
      <c r="AD41">
        <f ca="1">IF(AD$4=0,$H22*IF(AD$2&lt;&gt;0,0,1),IF(AND($AA41&gt;=AD$4,$AA41&lt;=AD$5),1,0))*IF(ISERROR(MATCH($AA41,$AA$17:AC$17,0)),1,0)</f>
        <v>1</v>
      </c>
      <c r="AE41">
        <f ca="1">IF(AE$4=0,$H22*IF(AE$2&lt;&gt;0,0,1),IF(AND($AA41&gt;=AE$4,$AA41&lt;=AE$5),1,0))*IF(ISERROR(MATCH($AA41,$AA$17:AD$17,0)),1,0)</f>
        <v>0</v>
      </c>
      <c r="AG41">
        <f>SUM(AB$22:AB41)</f>
        <v>0</v>
      </c>
      <c r="AH41">
        <f>SUM(AC$22:AC41)</f>
        <v>4</v>
      </c>
      <c r="AI41">
        <f ca="1">SUM(AD$22:AD41)</f>
        <v>4</v>
      </c>
      <c r="AJ41">
        <f ca="1">SUM(AE$22:AE41)</f>
        <v>3</v>
      </c>
    </row>
    <row r="42" spans="1:36" x14ac:dyDescent="0.3">
      <c r="A42" s="3">
        <f t="shared" si="27"/>
        <v>12</v>
      </c>
      <c r="B42" s="7"/>
      <c r="C42" s="7"/>
      <c r="D42" s="3" t="s">
        <v>39</v>
      </c>
      <c r="E42" s="3" t="s">
        <v>45</v>
      </c>
      <c r="F42" s="4" t="str">
        <f t="shared" si="25"/>
        <v/>
      </c>
      <c r="H42" s="4">
        <f t="shared" si="26"/>
        <v>0</v>
      </c>
      <c r="AA42">
        <f t="shared" si="24"/>
        <v>21</v>
      </c>
      <c r="AB42">
        <f>IF(AB$4=0,$H23*IF(AB$2&lt;&gt;0,0,1),IF(AND($AA42&gt;=AB$4,$AA42&lt;=AB$5),1,0))*IF(ISERROR(MATCH($AA42,$AA$17:AA$17,0)),1,0)</f>
        <v>0</v>
      </c>
      <c r="AC42">
        <f>IF(AC$4=0,$H23*IF(AC$2&lt;&gt;0,0,1),IF(AND($AA42&gt;=AC$4,$AA42&lt;=AC$5),1,0))*IF(ISERROR(MATCH($AA42,$AA$17:AB$17,0)),1,0)</f>
        <v>0</v>
      </c>
      <c r="AD42">
        <f ca="1">IF(AD$4=0,$H23*IF(AD$2&lt;&gt;0,0,1),IF(AND($AA42&gt;=AD$4,$AA42&lt;=AD$5),1,0))*IF(ISERROR(MATCH($AA42,$AA$17:AC$17,0)),1,0)</f>
        <v>0</v>
      </c>
      <c r="AE42">
        <f ca="1">IF(AE$4=0,$H23*IF(AE$2&lt;&gt;0,0,1),IF(AND($AA42&gt;=AE$4,$AA42&lt;=AE$5),1,0))*IF(ISERROR(MATCH($AA42,$AA$17:AD$17,0)),1,0)</f>
        <v>0</v>
      </c>
      <c r="AG42">
        <f>SUM(AB$22:AB42)</f>
        <v>0</v>
      </c>
      <c r="AH42">
        <f>SUM(AC$22:AC42)</f>
        <v>4</v>
      </c>
      <c r="AI42">
        <f ca="1">SUM(AD$22:AD42)</f>
        <v>4</v>
      </c>
      <c r="AJ42">
        <f ca="1">SUM(AE$22:AE42)</f>
        <v>3</v>
      </c>
    </row>
    <row r="43" spans="1:36" x14ac:dyDescent="0.3">
      <c r="A43" s="3">
        <f t="shared" si="27"/>
        <v>13</v>
      </c>
      <c r="B43" s="7"/>
      <c r="C43" s="7"/>
      <c r="D43" s="3" t="s">
        <v>39</v>
      </c>
      <c r="E43" s="3" t="s">
        <v>46</v>
      </c>
      <c r="F43" s="4" t="str">
        <f t="shared" si="25"/>
        <v/>
      </c>
      <c r="H43" s="4">
        <f t="shared" si="26"/>
        <v>0</v>
      </c>
      <c r="AA43">
        <f t="shared" si="24"/>
        <v>22</v>
      </c>
      <c r="AB43">
        <f>IF(AB$4=0,$H24*IF(AB$2&lt;&gt;0,0,1),IF(AND($AA43&gt;=AB$4,$AA43&lt;=AB$5),1,0))*IF(ISERROR(MATCH($AA43,$AA$17:AA$17,0)),1,0)</f>
        <v>0</v>
      </c>
      <c r="AC43">
        <f>IF(AC$4=0,$H24*IF(AC$2&lt;&gt;0,0,1),IF(AND($AA43&gt;=AC$4,$AA43&lt;=AC$5),1,0))*IF(ISERROR(MATCH($AA43,$AA$17:AB$17,0)),1,0)</f>
        <v>0</v>
      </c>
      <c r="AD43">
        <f ca="1">IF(AD$4=0,$H24*IF(AD$2&lt;&gt;0,0,1),IF(AND($AA43&gt;=AD$4,$AA43&lt;=AD$5),1,0))*IF(ISERROR(MATCH($AA43,$AA$17:AC$17,0)),1,0)</f>
        <v>0</v>
      </c>
      <c r="AE43">
        <f ca="1">IF(AE$4=0,$H24*IF(AE$2&lt;&gt;0,0,1),IF(AND($AA43&gt;=AE$4,$AA43&lt;=AE$5),1,0))*IF(ISERROR(MATCH($AA43,$AA$17:AD$17,0)),1,0)</f>
        <v>0</v>
      </c>
      <c r="AG43">
        <f>SUM(AB$22:AB43)</f>
        <v>0</v>
      </c>
      <c r="AH43">
        <f>SUM(AC$22:AC43)</f>
        <v>4</v>
      </c>
      <c r="AI43">
        <f ca="1">SUM(AD$22:AD43)</f>
        <v>4</v>
      </c>
      <c r="AJ43">
        <f ca="1">SUM(AE$22:AE43)</f>
        <v>3</v>
      </c>
    </row>
    <row r="44" spans="1:36" x14ac:dyDescent="0.3">
      <c r="A44" s="3">
        <f t="shared" si="27"/>
        <v>14</v>
      </c>
      <c r="B44" s="7"/>
      <c r="C44" s="7"/>
      <c r="D44" s="3" t="s">
        <v>64</v>
      </c>
      <c r="E44" s="3" t="s">
        <v>69</v>
      </c>
      <c r="F44" s="4" t="str">
        <f t="shared" si="25"/>
        <v>Marshlands: Geologists</v>
      </c>
      <c r="H44" s="4">
        <f t="shared" si="26"/>
        <v>1</v>
      </c>
      <c r="AA44">
        <f t="shared" si="24"/>
        <v>23</v>
      </c>
      <c r="AB44">
        <f>IF(AB$4=0,$H25*IF(AB$2&lt;&gt;0,0,1),IF(AND($AA44&gt;=AB$4,$AA44&lt;=AB$5),1,0))*IF(ISERROR(MATCH($AA44,$AA$17:AA$17,0)),1,0)</f>
        <v>0</v>
      </c>
      <c r="AC44">
        <f>IF(AC$4=0,$H25*IF(AC$2&lt;&gt;0,0,1),IF(AND($AA44&gt;=AC$4,$AA44&lt;=AC$5),1,0))*IF(ISERROR(MATCH($AA44,$AA$17:AB$17,0)),1,0)</f>
        <v>0</v>
      </c>
      <c r="AD44">
        <f ca="1">IF(AD$4=0,$H25*IF(AD$2&lt;&gt;0,0,1),IF(AND($AA44&gt;=AD$4,$AA44&lt;=AD$5),1,0))*IF(ISERROR(MATCH($AA44,$AA$17:AC$17,0)),1,0)</f>
        <v>0</v>
      </c>
      <c r="AE44">
        <f ca="1">IF(AE$4=0,$H25*IF(AE$2&lt;&gt;0,0,1),IF(AND($AA44&gt;=AE$4,$AA44&lt;=AE$5),1,0))*IF(ISERROR(MATCH($AA44,$AA$17:AD$17,0)),1,0)</f>
        <v>0</v>
      </c>
      <c r="AG44">
        <f>SUM(AB$22:AB44)</f>
        <v>0</v>
      </c>
      <c r="AH44">
        <f>SUM(AC$22:AC44)</f>
        <v>4</v>
      </c>
      <c r="AI44">
        <f ca="1">SUM(AD$22:AD44)</f>
        <v>4</v>
      </c>
      <c r="AJ44">
        <f ca="1">SUM(AE$22:AE44)</f>
        <v>3</v>
      </c>
    </row>
    <row r="45" spans="1:36" x14ac:dyDescent="0.3">
      <c r="A45" s="3">
        <f t="shared" si="27"/>
        <v>15</v>
      </c>
      <c r="B45" s="7"/>
      <c r="C45" s="7"/>
      <c r="D45" s="3" t="s">
        <v>64</v>
      </c>
      <c r="E45" s="3" t="s">
        <v>70</v>
      </c>
      <c r="F45" s="4" t="str">
        <f t="shared" si="25"/>
        <v>Marshlands: Messengers</v>
      </c>
      <c r="H45" s="4">
        <f t="shared" si="26"/>
        <v>1</v>
      </c>
      <c r="AA45">
        <f t="shared" si="24"/>
        <v>24</v>
      </c>
      <c r="AB45">
        <f>IF(AB$4=0,$H26*IF(AB$2&lt;&gt;0,0,1),IF(AND($AA45&gt;=AB$4,$AA45&lt;=AB$5),1,0))*IF(ISERROR(MATCH($AA45,$AA$17:AA$17,0)),1,0)</f>
        <v>0</v>
      </c>
      <c r="AC45">
        <f>IF(AC$4=0,$H26*IF(AC$2&lt;&gt;0,0,1),IF(AND($AA45&gt;=AC$4,$AA45&lt;=AC$5),1,0))*IF(ISERROR(MATCH($AA45,$AA$17:AB$17,0)),1,0)</f>
        <v>0</v>
      </c>
      <c r="AD45">
        <f ca="1">IF(AD$4=0,$H26*IF(AD$2&lt;&gt;0,0,1),IF(AND($AA45&gt;=AD$4,$AA45&lt;=AD$5),1,0))*IF(ISERROR(MATCH($AA45,$AA$17:AC$17,0)),1,0)</f>
        <v>0</v>
      </c>
      <c r="AE45">
        <f ca="1">IF(AE$4=0,$H26*IF(AE$2&lt;&gt;0,0,1),IF(AND($AA45&gt;=AE$4,$AA45&lt;=AE$5),1,0))*IF(ISERROR(MATCH($AA45,$AA$17:AD$17,0)),1,0)</f>
        <v>0</v>
      </c>
      <c r="AG45">
        <f>SUM(AB$22:AB45)</f>
        <v>0</v>
      </c>
      <c r="AH45">
        <f>SUM(AC$22:AC45)</f>
        <v>4</v>
      </c>
      <c r="AI45">
        <f ca="1">SUM(AD$22:AD45)</f>
        <v>4</v>
      </c>
      <c r="AJ45">
        <f ca="1">SUM(AE$22:AE45)</f>
        <v>3</v>
      </c>
    </row>
    <row r="46" spans="1:36" x14ac:dyDescent="0.3">
      <c r="A46" s="3">
        <f t="shared" si="27"/>
        <v>16</v>
      </c>
      <c r="B46" s="7"/>
      <c r="C46" s="7"/>
      <c r="D46" s="3" t="s">
        <v>64</v>
      </c>
      <c r="E46" s="3" t="s">
        <v>71</v>
      </c>
      <c r="F46" s="4" t="str">
        <f t="shared" si="25"/>
        <v>Marshlands: Noblewomen</v>
      </c>
      <c r="H46" s="4">
        <f t="shared" si="26"/>
        <v>1</v>
      </c>
    </row>
    <row r="47" spans="1:36" x14ac:dyDescent="0.3">
      <c r="A47" s="3">
        <f t="shared" si="27"/>
        <v>17</v>
      </c>
      <c r="B47" s="7"/>
      <c r="C47" s="7"/>
      <c r="D47" s="3" t="s">
        <v>64</v>
      </c>
      <c r="E47" s="3" t="s">
        <v>72</v>
      </c>
      <c r="F47" s="4" t="str">
        <f t="shared" si="25"/>
        <v>Marshlands: Vassals</v>
      </c>
      <c r="H47" s="4">
        <f t="shared" si="26"/>
        <v>1</v>
      </c>
    </row>
    <row r="48" spans="1:36" x14ac:dyDescent="0.3">
      <c r="A48" s="3">
        <f t="shared" si="27"/>
        <v>18</v>
      </c>
      <c r="B48" s="7"/>
      <c r="C48" s="7"/>
      <c r="D48" s="3" t="s">
        <v>64</v>
      </c>
      <c r="E48" s="3" t="s">
        <v>73</v>
      </c>
      <c r="F48" s="4" t="str">
        <f t="shared" si="25"/>
        <v>Marshlands: Captains</v>
      </c>
      <c r="H48" s="4">
        <f t="shared" si="26"/>
        <v>1</v>
      </c>
    </row>
    <row r="49" spans="1:8" x14ac:dyDescent="0.3">
      <c r="A49" s="3">
        <f t="shared" si="27"/>
        <v>19</v>
      </c>
      <c r="B49" s="7"/>
      <c r="C49" s="7"/>
      <c r="D49" s="3" t="s">
        <v>64</v>
      </c>
      <c r="E49" s="3" t="s">
        <v>74</v>
      </c>
      <c r="F49" s="4" t="str">
        <f t="shared" si="25"/>
        <v>Marshlands: Scouts</v>
      </c>
      <c r="H49" s="4">
        <f t="shared" si="26"/>
        <v>1</v>
      </c>
    </row>
    <row r="50" spans="1:8" x14ac:dyDescent="0.3">
      <c r="A50" s="3">
        <f t="shared" si="27"/>
        <v>20</v>
      </c>
      <c r="B50" s="7"/>
      <c r="C50" s="7"/>
      <c r="D50" s="3" t="s">
        <v>75</v>
      </c>
      <c r="E50" s="3" t="s">
        <v>80</v>
      </c>
      <c r="F50" s="4" t="str">
        <f t="shared" si="25"/>
        <v/>
      </c>
      <c r="H50" s="4">
        <f t="shared" si="26"/>
        <v>0</v>
      </c>
    </row>
    <row r="51" spans="1:8" x14ac:dyDescent="0.3">
      <c r="A51" s="3">
        <f t="shared" si="27"/>
        <v>21</v>
      </c>
      <c r="B51" s="7"/>
      <c r="C51" s="7"/>
      <c r="D51" s="3" t="s">
        <v>75</v>
      </c>
      <c r="E51" s="3" t="s">
        <v>81</v>
      </c>
      <c r="F51" s="4" t="str">
        <f t="shared" si="25"/>
        <v/>
      </c>
      <c r="H51" s="4">
        <f t="shared" si="26"/>
        <v>0</v>
      </c>
    </row>
    <row r="52" spans="1:8" x14ac:dyDescent="0.3">
      <c r="A52" s="3">
        <f t="shared" si="27"/>
        <v>22</v>
      </c>
      <c r="B52" s="7"/>
      <c r="C52" s="7"/>
      <c r="D52" s="3" t="s">
        <v>75</v>
      </c>
      <c r="E52" s="3" t="s">
        <v>82</v>
      </c>
      <c r="F52" s="4" t="str">
        <f t="shared" si="25"/>
        <v/>
      </c>
      <c r="H52" s="4">
        <f t="shared" si="26"/>
        <v>0</v>
      </c>
    </row>
    <row r="53" spans="1:8" x14ac:dyDescent="0.3">
      <c r="A53" s="3">
        <f t="shared" si="27"/>
        <v>23</v>
      </c>
      <c r="B53" s="7"/>
      <c r="C53" s="7"/>
      <c r="D53" s="3" t="s">
        <v>75</v>
      </c>
      <c r="E53" s="3" t="s">
        <v>83</v>
      </c>
      <c r="F53" s="4" t="str">
        <f t="shared" si="25"/>
        <v/>
      </c>
      <c r="H53" s="4">
        <f t="shared" si="26"/>
        <v>0</v>
      </c>
    </row>
    <row r="54" spans="1:8" x14ac:dyDescent="0.3">
      <c r="A54" s="3">
        <f t="shared" si="27"/>
        <v>24</v>
      </c>
      <c r="B54" s="7"/>
      <c r="C54" s="7"/>
      <c r="D54" s="3" t="s">
        <v>75</v>
      </c>
      <c r="E54" s="3" t="s">
        <v>84</v>
      </c>
      <c r="F54" s="4" t="str">
        <f t="shared" si="25"/>
        <v/>
      </c>
      <c r="H54" s="4">
        <f t="shared" si="26"/>
        <v>0</v>
      </c>
    </row>
    <row r="55" spans="1:8" x14ac:dyDescent="0.3">
      <c r="A55" s="3">
        <f t="shared" si="27"/>
        <v>25</v>
      </c>
      <c r="B55" s="7"/>
      <c r="C55" s="7"/>
      <c r="D55" s="3" t="s">
        <v>75</v>
      </c>
      <c r="E55" s="3" t="s">
        <v>85</v>
      </c>
      <c r="F55" s="4" t="str">
        <f t="shared" si="25"/>
        <v/>
      </c>
      <c r="H55" s="4">
        <f t="shared" si="26"/>
        <v>0</v>
      </c>
    </row>
    <row r="57" spans="1:8" x14ac:dyDescent="0.3">
      <c r="D57" s="184" t="s">
        <v>13</v>
      </c>
      <c r="E57" s="185"/>
    </row>
    <row r="58" spans="1:8" x14ac:dyDescent="0.3">
      <c r="D58" s="186"/>
      <c r="E58" s="187"/>
    </row>
    <row r="59" spans="1:8" x14ac:dyDescent="0.3">
      <c r="A59" s="3">
        <v>1</v>
      </c>
      <c r="B59" s="7"/>
      <c r="C59" s="7"/>
      <c r="D59" s="3" t="s">
        <v>14</v>
      </c>
      <c r="E59" s="3" t="s">
        <v>15</v>
      </c>
      <c r="H59" s="4">
        <f>$K$8</f>
        <v>1</v>
      </c>
    </row>
    <row r="60" spans="1:8" x14ac:dyDescent="0.3">
      <c r="A60" s="3">
        <f>A59+1</f>
        <v>2</v>
      </c>
      <c r="B60" s="7"/>
      <c r="C60" s="7"/>
      <c r="D60" s="3" t="s">
        <v>14</v>
      </c>
      <c r="E60" s="3" t="s">
        <v>16</v>
      </c>
      <c r="H60" s="4">
        <f>$K$8</f>
        <v>1</v>
      </c>
    </row>
    <row r="61" spans="1:8" x14ac:dyDescent="0.3">
      <c r="A61" s="3">
        <f t="shared" ref="A61" si="28">A60+1</f>
        <v>3</v>
      </c>
      <c r="B61" s="7"/>
      <c r="C61" s="7"/>
      <c r="D61" s="3" t="s">
        <v>14</v>
      </c>
      <c r="E61" s="3" t="s">
        <v>17</v>
      </c>
      <c r="H61" s="4">
        <f>$K$8</f>
        <v>1</v>
      </c>
    </row>
    <row r="62" spans="1:8" x14ac:dyDescent="0.3">
      <c r="D62" s="4"/>
      <c r="E62" s="4"/>
    </row>
    <row r="63" spans="1:8" x14ac:dyDescent="0.3">
      <c r="D63" s="4"/>
      <c r="E63" s="4"/>
    </row>
    <row r="64" spans="1:8" x14ac:dyDescent="0.3">
      <c r="D64" s="192" t="s">
        <v>39</v>
      </c>
      <c r="E64" s="192"/>
    </row>
    <row r="65" spans="1:5" x14ac:dyDescent="0.3">
      <c r="D65" s="192"/>
      <c r="E65" s="192"/>
    </row>
    <row r="66" spans="1:5" x14ac:dyDescent="0.3">
      <c r="A66" s="3">
        <v>1</v>
      </c>
      <c r="B66" s="7"/>
      <c r="C66" s="7"/>
      <c r="D66" s="3" t="s">
        <v>47</v>
      </c>
      <c r="E66" s="3" t="s">
        <v>48</v>
      </c>
    </row>
    <row r="67" spans="1:5" x14ac:dyDescent="0.3">
      <c r="A67" s="3">
        <f>A66+1</f>
        <v>2</v>
      </c>
      <c r="B67" s="7"/>
      <c r="C67" s="7"/>
      <c r="D67" s="3" t="s">
        <v>47</v>
      </c>
      <c r="E67" s="3" t="s">
        <v>48</v>
      </c>
    </row>
    <row r="68" spans="1:5" x14ac:dyDescent="0.3">
      <c r="A68" s="3">
        <f t="shared" ref="A68:A80" si="29">A67+1</f>
        <v>3</v>
      </c>
      <c r="B68" s="7"/>
      <c r="C68" s="7"/>
      <c r="D68" s="3" t="s">
        <v>47</v>
      </c>
      <c r="E68" s="3" t="s">
        <v>48</v>
      </c>
    </row>
    <row r="69" spans="1:5" x14ac:dyDescent="0.3">
      <c r="A69" s="3">
        <f t="shared" si="29"/>
        <v>4</v>
      </c>
      <c r="B69" s="7"/>
      <c r="C69" s="7"/>
      <c r="D69" s="3" t="s">
        <v>47</v>
      </c>
      <c r="E69" s="3" t="s">
        <v>48</v>
      </c>
    </row>
    <row r="70" spans="1:5" x14ac:dyDescent="0.3">
      <c r="A70" s="3">
        <f t="shared" si="29"/>
        <v>5</v>
      </c>
      <c r="B70" s="7"/>
      <c r="C70" s="7"/>
      <c r="D70" s="3" t="s">
        <v>47</v>
      </c>
      <c r="E70" s="3" t="s">
        <v>48</v>
      </c>
    </row>
    <row r="71" spans="1:5" x14ac:dyDescent="0.3">
      <c r="A71" s="3">
        <f t="shared" si="29"/>
        <v>6</v>
      </c>
      <c r="B71" s="7"/>
      <c r="C71" s="7"/>
      <c r="D71" s="3" t="s">
        <v>47</v>
      </c>
      <c r="E71" s="3" t="s">
        <v>48</v>
      </c>
    </row>
    <row r="72" spans="1:5" x14ac:dyDescent="0.3">
      <c r="A72" s="3">
        <f t="shared" si="29"/>
        <v>7</v>
      </c>
      <c r="B72" s="7"/>
      <c r="C72" s="7"/>
      <c r="D72" s="3" t="s">
        <v>47</v>
      </c>
      <c r="E72" s="3" t="s">
        <v>48</v>
      </c>
    </row>
    <row r="73" spans="1:5" x14ac:dyDescent="0.3">
      <c r="A73" s="3">
        <f t="shared" si="29"/>
        <v>8</v>
      </c>
      <c r="B73" s="7"/>
      <c r="C73" s="7"/>
      <c r="D73" s="3" t="s">
        <v>47</v>
      </c>
      <c r="E73" s="3" t="s">
        <v>49</v>
      </c>
    </row>
    <row r="74" spans="1:5" x14ac:dyDescent="0.3">
      <c r="A74" s="3">
        <f t="shared" si="29"/>
        <v>9</v>
      </c>
      <c r="B74" s="7"/>
      <c r="C74" s="7"/>
      <c r="D74" s="3" t="s">
        <v>47</v>
      </c>
      <c r="E74" s="3" t="s">
        <v>49</v>
      </c>
    </row>
    <row r="75" spans="1:5" x14ac:dyDescent="0.3">
      <c r="A75" s="3">
        <f t="shared" si="29"/>
        <v>10</v>
      </c>
      <c r="B75" s="7"/>
      <c r="C75" s="7"/>
      <c r="D75" s="3" t="s">
        <v>47</v>
      </c>
      <c r="E75" s="3" t="s">
        <v>50</v>
      </c>
    </row>
    <row r="76" spans="1:5" x14ac:dyDescent="0.3">
      <c r="A76" s="3">
        <f t="shared" si="29"/>
        <v>11</v>
      </c>
      <c r="B76" s="7"/>
      <c r="C76" s="7"/>
      <c r="D76" s="3" t="s">
        <v>47</v>
      </c>
      <c r="E76" s="3" t="s">
        <v>50</v>
      </c>
    </row>
    <row r="77" spans="1:5" x14ac:dyDescent="0.3">
      <c r="A77" s="3">
        <f t="shared" si="29"/>
        <v>12</v>
      </c>
      <c r="B77" s="7"/>
      <c r="C77" s="7"/>
      <c r="D77" s="3" t="s">
        <v>47</v>
      </c>
      <c r="E77" s="3" t="s">
        <v>51</v>
      </c>
    </row>
    <row r="78" spans="1:5" x14ac:dyDescent="0.3">
      <c r="A78" s="3">
        <f t="shared" si="29"/>
        <v>13</v>
      </c>
      <c r="B78" s="7"/>
      <c r="C78" s="7"/>
      <c r="D78" s="3" t="s">
        <v>47</v>
      </c>
      <c r="E78" s="3" t="s">
        <v>51</v>
      </c>
    </row>
    <row r="79" spans="1:5" x14ac:dyDescent="0.3">
      <c r="A79" s="3">
        <f t="shared" si="29"/>
        <v>14</v>
      </c>
      <c r="B79" s="7"/>
      <c r="C79" s="7"/>
      <c r="D79" s="3" t="s">
        <v>47</v>
      </c>
      <c r="E79" s="3" t="s">
        <v>52</v>
      </c>
    </row>
    <row r="80" spans="1:5" x14ac:dyDescent="0.3">
      <c r="A80" s="3">
        <f t="shared" si="29"/>
        <v>15</v>
      </c>
      <c r="B80" s="7"/>
      <c r="C80" s="7"/>
      <c r="D80" s="3" t="s">
        <v>47</v>
      </c>
      <c r="E80" s="3" t="s">
        <v>52</v>
      </c>
    </row>
    <row r="81" spans="1:5" x14ac:dyDescent="0.3">
      <c r="D81" s="4"/>
      <c r="E81" s="4"/>
    </row>
    <row r="82" spans="1:5" x14ac:dyDescent="0.3">
      <c r="D82" s="184" t="s">
        <v>58</v>
      </c>
      <c r="E82" s="185"/>
    </row>
    <row r="83" spans="1:5" x14ac:dyDescent="0.3">
      <c r="D83" s="186"/>
      <c r="E83" s="187"/>
    </row>
    <row r="84" spans="1:5" x14ac:dyDescent="0.3">
      <c r="A84" s="3">
        <v>1</v>
      </c>
      <c r="B84" s="7"/>
      <c r="C84" s="7"/>
      <c r="D84" s="3" t="s">
        <v>58</v>
      </c>
      <c r="E84" s="3" t="s">
        <v>59</v>
      </c>
    </row>
    <row r="85" spans="1:5" x14ac:dyDescent="0.3">
      <c r="A85" s="3">
        <f>A84+1</f>
        <v>2</v>
      </c>
      <c r="B85" s="7"/>
      <c r="C85" s="7"/>
      <c r="D85" s="3" t="s">
        <v>58</v>
      </c>
      <c r="E85" s="3" t="s">
        <v>60</v>
      </c>
    </row>
    <row r="86" spans="1:5" x14ac:dyDescent="0.3">
      <c r="A86" s="3">
        <f t="shared" ref="A86:A89" si="30">A85+1</f>
        <v>3</v>
      </c>
      <c r="B86" s="7"/>
      <c r="C86" s="7"/>
      <c r="D86" s="3" t="s">
        <v>58</v>
      </c>
      <c r="E86" s="3" t="s">
        <v>61</v>
      </c>
    </row>
    <row r="87" spans="1:5" x14ac:dyDescent="0.3">
      <c r="A87" s="3">
        <f t="shared" si="30"/>
        <v>4</v>
      </c>
      <c r="B87" s="7"/>
      <c r="C87" s="7"/>
      <c r="D87" s="3" t="s">
        <v>58</v>
      </c>
      <c r="E87" s="3" t="s">
        <v>62</v>
      </c>
    </row>
    <row r="88" spans="1:5" x14ac:dyDescent="0.3">
      <c r="A88" s="3">
        <f t="shared" si="30"/>
        <v>5</v>
      </c>
      <c r="B88" s="7"/>
      <c r="C88" s="7"/>
      <c r="D88" s="3" t="s">
        <v>58</v>
      </c>
      <c r="E88" s="3" t="s">
        <v>154</v>
      </c>
    </row>
    <row r="89" spans="1:5" x14ac:dyDescent="0.3">
      <c r="A89" s="3">
        <f t="shared" si="30"/>
        <v>6</v>
      </c>
      <c r="B89" s="7"/>
      <c r="C89" s="7"/>
      <c r="D89" s="3" t="s">
        <v>58</v>
      </c>
      <c r="E89" s="3" t="s">
        <v>63</v>
      </c>
    </row>
    <row r="90" spans="1:5" x14ac:dyDescent="0.3">
      <c r="D90" s="4"/>
      <c r="E90" s="4"/>
    </row>
  </sheetData>
  <mergeCells count="8">
    <mergeCell ref="D82:E83"/>
    <mergeCell ref="D1:E2"/>
    <mergeCell ref="B1:C1"/>
    <mergeCell ref="L1:O1"/>
    <mergeCell ref="A1:A2"/>
    <mergeCell ref="D29:E30"/>
    <mergeCell ref="D57:E58"/>
    <mergeCell ref="D64:E6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25"/>
  <sheetViews>
    <sheetView topLeftCell="A2" workbookViewId="0">
      <selection activeCell="A2" sqref="A2"/>
    </sheetView>
  </sheetViews>
  <sheetFormatPr defaultRowHeight="14.4" x14ac:dyDescent="0.3"/>
  <cols>
    <col min="1" max="1" width="47.44140625" style="39" bestFit="1" customWidth="1"/>
    <col min="2" max="2" width="27.5546875" style="129" bestFit="1" customWidth="1"/>
    <col min="3" max="3" width="48.88671875" style="39" customWidth="1"/>
    <col min="4" max="6" width="32.88671875" style="39" customWidth="1"/>
  </cols>
  <sheetData>
    <row r="1" spans="1:6" hidden="1" x14ac:dyDescent="0.3">
      <c r="A1" s="39">
        <f>IF(A2="",0,1)</f>
        <v>1</v>
      </c>
      <c r="C1" s="39">
        <f>IF(C2="",0,A1+1)</f>
        <v>2</v>
      </c>
      <c r="D1" s="39">
        <f>IF(D2="",0,C1+1)</f>
        <v>0</v>
      </c>
      <c r="E1" s="39">
        <f t="shared" ref="E1:F1" si="0">IF(E2="",0,D1+1)</f>
        <v>0</v>
      </c>
      <c r="F1" s="39">
        <f t="shared" si="0"/>
        <v>0</v>
      </c>
    </row>
    <row r="2" spans="1:6" ht="23.4" x14ac:dyDescent="0.45">
      <c r="A2" s="126" t="s">
        <v>156</v>
      </c>
      <c r="B2" s="128" t="s">
        <v>157</v>
      </c>
      <c r="C2" s="133" t="s">
        <v>203</v>
      </c>
      <c r="D2" s="176"/>
      <c r="E2" s="176"/>
      <c r="F2" s="176"/>
    </row>
    <row r="3" spans="1:6" x14ac:dyDescent="0.3">
      <c r="A3" s="127" t="s">
        <v>153</v>
      </c>
      <c r="B3" s="130" t="s">
        <v>445</v>
      </c>
      <c r="C3" s="134" t="s">
        <v>204</v>
      </c>
      <c r="D3" s="177"/>
      <c r="E3" s="177"/>
      <c r="F3" s="177"/>
    </row>
    <row r="4" spans="1:6" s="63" customFormat="1" x14ac:dyDescent="0.3">
      <c r="A4" s="168" t="s">
        <v>128</v>
      </c>
      <c r="B4" s="196" t="s">
        <v>682</v>
      </c>
      <c r="C4" s="135" t="s">
        <v>345</v>
      </c>
      <c r="D4" s="178"/>
      <c r="E4" s="178"/>
      <c r="F4" s="178"/>
    </row>
    <row r="5" spans="1:6" x14ac:dyDescent="0.3">
      <c r="A5" s="169" t="s">
        <v>10</v>
      </c>
      <c r="B5" s="197"/>
      <c r="C5" s="136" t="s">
        <v>205</v>
      </c>
      <c r="D5" s="179"/>
      <c r="E5" s="179"/>
      <c r="F5" s="179"/>
    </row>
    <row r="6" spans="1:6" x14ac:dyDescent="0.3">
      <c r="A6" s="169" t="s">
        <v>39</v>
      </c>
      <c r="B6" s="197"/>
      <c r="C6" s="136" t="s">
        <v>206</v>
      </c>
      <c r="D6" s="179"/>
      <c r="E6" s="179"/>
      <c r="F6" s="179"/>
    </row>
    <row r="7" spans="1:6" x14ac:dyDescent="0.3">
      <c r="A7" s="169" t="s">
        <v>53</v>
      </c>
      <c r="B7" s="197"/>
      <c r="C7" s="136" t="s">
        <v>207</v>
      </c>
      <c r="D7" s="179"/>
      <c r="E7" s="179"/>
      <c r="F7" s="179"/>
    </row>
    <row r="8" spans="1:6" x14ac:dyDescent="0.3">
      <c r="A8" s="169" t="s">
        <v>64</v>
      </c>
      <c r="B8" s="197"/>
      <c r="C8" s="136" t="s">
        <v>208</v>
      </c>
      <c r="D8" s="179"/>
      <c r="E8" s="179"/>
      <c r="F8" s="179"/>
    </row>
    <row r="9" spans="1:6" x14ac:dyDescent="0.3">
      <c r="A9" s="169" t="s">
        <v>75</v>
      </c>
      <c r="B9" s="198"/>
      <c r="C9" s="136" t="s">
        <v>209</v>
      </c>
      <c r="D9" s="179"/>
      <c r="E9" s="179"/>
      <c r="F9" s="179"/>
    </row>
    <row r="10" spans="1:6" x14ac:dyDescent="0.3">
      <c r="A10" s="127" t="s">
        <v>162</v>
      </c>
      <c r="B10" s="130" t="s">
        <v>445</v>
      </c>
      <c r="C10" s="134" t="s">
        <v>210</v>
      </c>
      <c r="D10" s="177"/>
      <c r="E10" s="177"/>
      <c r="F10" s="177"/>
    </row>
    <row r="11" spans="1:6" ht="14.4" customHeight="1" x14ac:dyDescent="0.3">
      <c r="A11" s="44" t="s">
        <v>0</v>
      </c>
      <c r="B11" s="199" t="s">
        <v>683</v>
      </c>
      <c r="C11" s="136" t="s">
        <v>211</v>
      </c>
      <c r="D11" s="179"/>
      <c r="E11" s="179"/>
      <c r="F11" s="179"/>
    </row>
    <row r="12" spans="1:6" x14ac:dyDescent="0.3">
      <c r="A12" s="44" t="s">
        <v>1</v>
      </c>
      <c r="B12" s="200"/>
      <c r="C12" s="136" t="s">
        <v>212</v>
      </c>
      <c r="D12" s="179"/>
      <c r="E12" s="179"/>
      <c r="F12" s="179"/>
    </row>
    <row r="13" spans="1:6" x14ac:dyDescent="0.3">
      <c r="A13" s="44" t="s">
        <v>2</v>
      </c>
      <c r="B13" s="200"/>
      <c r="C13" s="136" t="s">
        <v>213</v>
      </c>
      <c r="D13" s="179"/>
      <c r="E13" s="179"/>
      <c r="F13" s="179"/>
    </row>
    <row r="14" spans="1:6" x14ac:dyDescent="0.3">
      <c r="A14" s="44" t="s">
        <v>3</v>
      </c>
      <c r="B14" s="200"/>
      <c r="C14" s="136" t="s">
        <v>214</v>
      </c>
      <c r="D14" s="179"/>
      <c r="E14" s="179"/>
      <c r="F14" s="179"/>
    </row>
    <row r="15" spans="1:6" x14ac:dyDescent="0.3">
      <c r="A15" s="44" t="s">
        <v>4</v>
      </c>
      <c r="B15" s="200"/>
      <c r="C15" s="136" t="s">
        <v>215</v>
      </c>
      <c r="D15" s="179"/>
      <c r="E15" s="179"/>
      <c r="F15" s="179"/>
    </row>
    <row r="16" spans="1:6" x14ac:dyDescent="0.3">
      <c r="A16" s="44" t="s">
        <v>5</v>
      </c>
      <c r="B16" s="200"/>
      <c r="C16" s="136" t="s">
        <v>216</v>
      </c>
      <c r="D16" s="179"/>
      <c r="E16" s="179"/>
      <c r="F16" s="179"/>
    </row>
    <row r="17" spans="1:6" x14ac:dyDescent="0.3">
      <c r="A17" s="44" t="s">
        <v>6</v>
      </c>
      <c r="B17" s="200"/>
      <c r="C17" s="136" t="s">
        <v>217</v>
      </c>
      <c r="D17" s="179"/>
      <c r="E17" s="179"/>
      <c r="F17" s="179"/>
    </row>
    <row r="18" spans="1:6" x14ac:dyDescent="0.3">
      <c r="A18" s="44" t="s">
        <v>7</v>
      </c>
      <c r="B18" s="200"/>
      <c r="C18" s="136" t="s">
        <v>218</v>
      </c>
      <c r="D18" s="179"/>
      <c r="E18" s="179"/>
      <c r="F18" s="179"/>
    </row>
    <row r="19" spans="1:6" x14ac:dyDescent="0.3">
      <c r="A19" s="44" t="s">
        <v>40</v>
      </c>
      <c r="B19" s="200"/>
      <c r="C19" s="136" t="s">
        <v>219</v>
      </c>
      <c r="D19" s="179"/>
      <c r="E19" s="179"/>
      <c r="F19" s="179"/>
    </row>
    <row r="20" spans="1:6" x14ac:dyDescent="0.3">
      <c r="A20" s="44" t="s">
        <v>41</v>
      </c>
      <c r="B20" s="200"/>
      <c r="C20" s="136" t="s">
        <v>220</v>
      </c>
      <c r="D20" s="179"/>
      <c r="E20" s="179"/>
      <c r="F20" s="179"/>
    </row>
    <row r="21" spans="1:6" x14ac:dyDescent="0.3">
      <c r="A21" s="44" t="s">
        <v>42</v>
      </c>
      <c r="B21" s="131" t="s">
        <v>444</v>
      </c>
      <c r="C21" s="136" t="s">
        <v>221</v>
      </c>
      <c r="D21" s="179"/>
      <c r="E21" s="179"/>
      <c r="F21" s="179"/>
    </row>
    <row r="22" spans="1:6" x14ac:dyDescent="0.3">
      <c r="A22" s="44" t="s">
        <v>43</v>
      </c>
      <c r="B22" s="131" t="s">
        <v>444</v>
      </c>
      <c r="C22" s="136" t="s">
        <v>222</v>
      </c>
      <c r="D22" s="179"/>
      <c r="E22" s="179"/>
      <c r="F22" s="179"/>
    </row>
    <row r="23" spans="1:6" x14ac:dyDescent="0.3">
      <c r="A23" s="44" t="s">
        <v>54</v>
      </c>
      <c r="B23" s="131" t="s">
        <v>444</v>
      </c>
      <c r="C23" s="136" t="s">
        <v>446</v>
      </c>
      <c r="D23" s="179"/>
      <c r="E23" s="179"/>
      <c r="F23" s="179"/>
    </row>
    <row r="24" spans="1:6" x14ac:dyDescent="0.3">
      <c r="A24" s="44" t="s">
        <v>55</v>
      </c>
      <c r="B24" s="131" t="s">
        <v>444</v>
      </c>
      <c r="C24" s="136" t="s">
        <v>447</v>
      </c>
      <c r="D24" s="179"/>
      <c r="E24" s="179"/>
      <c r="F24" s="179"/>
    </row>
    <row r="25" spans="1:6" x14ac:dyDescent="0.3">
      <c r="A25" s="44" t="s">
        <v>56</v>
      </c>
      <c r="B25" s="131" t="s">
        <v>444</v>
      </c>
      <c r="C25" s="136" t="s">
        <v>461</v>
      </c>
      <c r="D25" s="179"/>
      <c r="E25" s="179"/>
      <c r="F25" s="179"/>
    </row>
    <row r="26" spans="1:6" x14ac:dyDescent="0.3">
      <c r="A26" s="44" t="s">
        <v>57</v>
      </c>
      <c r="B26" s="131" t="s">
        <v>444</v>
      </c>
      <c r="C26" s="136" t="s">
        <v>462</v>
      </c>
      <c r="D26" s="179"/>
      <c r="E26" s="179"/>
      <c r="F26" s="179"/>
    </row>
    <row r="27" spans="1:6" x14ac:dyDescent="0.3">
      <c r="A27" s="44" t="s">
        <v>65</v>
      </c>
      <c r="B27" s="131" t="s">
        <v>444</v>
      </c>
      <c r="C27" s="136" t="s">
        <v>463</v>
      </c>
      <c r="D27" s="179"/>
      <c r="E27" s="179"/>
      <c r="F27" s="179"/>
    </row>
    <row r="28" spans="1:6" x14ac:dyDescent="0.3">
      <c r="A28" s="44" t="s">
        <v>66</v>
      </c>
      <c r="B28" s="131" t="s">
        <v>444</v>
      </c>
      <c r="C28" s="136" t="s">
        <v>464</v>
      </c>
      <c r="D28" s="179"/>
      <c r="E28" s="179"/>
      <c r="F28" s="179"/>
    </row>
    <row r="29" spans="1:6" x14ac:dyDescent="0.3">
      <c r="A29" s="44" t="s">
        <v>67</v>
      </c>
      <c r="B29" s="131" t="s">
        <v>444</v>
      </c>
      <c r="C29" s="136" t="s">
        <v>67</v>
      </c>
      <c r="D29" s="179"/>
      <c r="E29" s="179"/>
      <c r="F29" s="179"/>
    </row>
    <row r="30" spans="1:6" x14ac:dyDescent="0.3">
      <c r="A30" s="44" t="s">
        <v>68</v>
      </c>
      <c r="B30" s="131" t="s">
        <v>444</v>
      </c>
      <c r="C30" s="136" t="s">
        <v>465</v>
      </c>
      <c r="D30" s="179"/>
      <c r="E30" s="179"/>
      <c r="F30" s="179"/>
    </row>
    <row r="31" spans="1:6" x14ac:dyDescent="0.3">
      <c r="A31" s="44" t="s">
        <v>76</v>
      </c>
      <c r="B31" s="131" t="s">
        <v>444</v>
      </c>
      <c r="C31" s="136" t="s">
        <v>466</v>
      </c>
      <c r="D31" s="179"/>
      <c r="E31" s="179"/>
      <c r="F31" s="179"/>
    </row>
    <row r="32" spans="1:6" x14ac:dyDescent="0.3">
      <c r="A32" s="44" t="s">
        <v>77</v>
      </c>
      <c r="B32" s="131" t="s">
        <v>444</v>
      </c>
      <c r="C32" s="136" t="s">
        <v>467</v>
      </c>
      <c r="D32" s="179"/>
      <c r="E32" s="179"/>
      <c r="F32" s="179"/>
    </row>
    <row r="33" spans="1:6" x14ac:dyDescent="0.3">
      <c r="A33" s="44" t="s">
        <v>78</v>
      </c>
      <c r="B33" s="131" t="s">
        <v>444</v>
      </c>
      <c r="C33" s="136" t="s">
        <v>468</v>
      </c>
      <c r="D33" s="179"/>
      <c r="E33" s="179"/>
      <c r="F33" s="179"/>
    </row>
    <row r="34" spans="1:6" x14ac:dyDescent="0.3">
      <c r="A34" s="44" t="s">
        <v>79</v>
      </c>
      <c r="B34" s="131" t="s">
        <v>444</v>
      </c>
      <c r="C34" s="136" t="s">
        <v>469</v>
      </c>
      <c r="D34" s="179"/>
      <c r="E34" s="179"/>
      <c r="F34" s="179"/>
    </row>
    <row r="35" spans="1:6" x14ac:dyDescent="0.3">
      <c r="A35" s="127" t="s">
        <v>174</v>
      </c>
      <c r="B35" s="130" t="s">
        <v>445</v>
      </c>
      <c r="C35" s="134" t="s">
        <v>453</v>
      </c>
      <c r="D35" s="177"/>
      <c r="E35" s="177"/>
      <c r="F35" s="177"/>
    </row>
    <row r="36" spans="1:6" x14ac:dyDescent="0.3">
      <c r="A36" s="44" t="s">
        <v>8</v>
      </c>
      <c r="B36" s="131" t="s">
        <v>444</v>
      </c>
      <c r="C36" s="136" t="s">
        <v>386</v>
      </c>
      <c r="D36" s="179"/>
      <c r="E36" s="179"/>
      <c r="F36" s="179"/>
    </row>
    <row r="37" spans="1:6" x14ac:dyDescent="0.3">
      <c r="A37" s="44" t="s">
        <v>9</v>
      </c>
      <c r="B37" s="131" t="s">
        <v>444</v>
      </c>
      <c r="C37" s="136" t="s">
        <v>387</v>
      </c>
      <c r="D37" s="179"/>
      <c r="E37" s="179"/>
      <c r="F37" s="179"/>
    </row>
    <row r="38" spans="1:6" x14ac:dyDescent="0.3">
      <c r="A38" s="44" t="s">
        <v>18</v>
      </c>
      <c r="B38" s="131" t="s">
        <v>444</v>
      </c>
      <c r="C38" s="136" t="s">
        <v>388</v>
      </c>
      <c r="D38" s="179"/>
      <c r="E38" s="179"/>
      <c r="F38" s="179"/>
    </row>
    <row r="39" spans="1:6" x14ac:dyDescent="0.3">
      <c r="A39" s="44" t="s">
        <v>19</v>
      </c>
      <c r="B39" s="131" t="s">
        <v>444</v>
      </c>
      <c r="C39" s="136" t="s">
        <v>389</v>
      </c>
      <c r="D39" s="179"/>
      <c r="E39" s="179"/>
      <c r="F39" s="179"/>
    </row>
    <row r="40" spans="1:6" x14ac:dyDescent="0.3">
      <c r="A40" s="44" t="s">
        <v>20</v>
      </c>
      <c r="B40" s="131" t="s">
        <v>444</v>
      </c>
      <c r="C40" s="136" t="s">
        <v>390</v>
      </c>
      <c r="D40" s="179"/>
      <c r="E40" s="179"/>
      <c r="F40" s="179"/>
    </row>
    <row r="41" spans="1:6" x14ac:dyDescent="0.3">
      <c r="A41" s="44" t="s">
        <v>21</v>
      </c>
      <c r="B41" s="131" t="s">
        <v>444</v>
      </c>
      <c r="C41" s="136" t="s">
        <v>391</v>
      </c>
      <c r="D41" s="179"/>
      <c r="E41" s="179"/>
      <c r="F41" s="179"/>
    </row>
    <row r="42" spans="1:6" x14ac:dyDescent="0.3">
      <c r="A42" s="44" t="s">
        <v>22</v>
      </c>
      <c r="B42" s="131" t="s">
        <v>444</v>
      </c>
      <c r="C42" s="136" t="s">
        <v>392</v>
      </c>
      <c r="D42" s="179"/>
      <c r="E42" s="179"/>
      <c r="F42" s="179"/>
    </row>
    <row r="43" spans="1:6" x14ac:dyDescent="0.3">
      <c r="A43" s="44" t="s">
        <v>23</v>
      </c>
      <c r="B43" s="131" t="s">
        <v>444</v>
      </c>
      <c r="C43" s="136" t="s">
        <v>393</v>
      </c>
      <c r="D43" s="179"/>
      <c r="E43" s="179"/>
      <c r="F43" s="179"/>
    </row>
    <row r="44" spans="1:6" x14ac:dyDescent="0.3">
      <c r="A44" s="44" t="s">
        <v>24</v>
      </c>
      <c r="B44" s="131" t="s">
        <v>444</v>
      </c>
      <c r="C44" s="136" t="s">
        <v>394</v>
      </c>
      <c r="D44" s="179"/>
      <c r="E44" s="179"/>
      <c r="F44" s="179"/>
    </row>
    <row r="45" spans="1:6" x14ac:dyDescent="0.3">
      <c r="A45" s="44" t="s">
        <v>25</v>
      </c>
      <c r="B45" s="131" t="s">
        <v>444</v>
      </c>
      <c r="C45" s="136" t="s">
        <v>395</v>
      </c>
      <c r="D45" s="179"/>
      <c r="E45" s="179"/>
      <c r="F45" s="179"/>
    </row>
    <row r="46" spans="1:6" x14ac:dyDescent="0.3">
      <c r="A46" s="44" t="s">
        <v>44</v>
      </c>
      <c r="B46" s="131" t="s">
        <v>444</v>
      </c>
      <c r="C46" s="136" t="s">
        <v>396</v>
      </c>
      <c r="D46" s="179"/>
      <c r="E46" s="179"/>
      <c r="F46" s="179"/>
    </row>
    <row r="47" spans="1:6" x14ac:dyDescent="0.3">
      <c r="A47" s="44" t="s">
        <v>45</v>
      </c>
      <c r="B47" s="131" t="s">
        <v>444</v>
      </c>
      <c r="C47" s="136" t="s">
        <v>397</v>
      </c>
      <c r="D47" s="179"/>
      <c r="E47" s="179"/>
      <c r="F47" s="179"/>
    </row>
    <row r="48" spans="1:6" x14ac:dyDescent="0.3">
      <c r="A48" s="44" t="s">
        <v>46</v>
      </c>
      <c r="B48" s="131" t="s">
        <v>444</v>
      </c>
      <c r="C48" s="136" t="s">
        <v>452</v>
      </c>
      <c r="D48" s="179"/>
      <c r="E48" s="179"/>
      <c r="F48" s="179"/>
    </row>
    <row r="49" spans="1:6" x14ac:dyDescent="0.3">
      <c r="A49" s="44" t="s">
        <v>69</v>
      </c>
      <c r="B49" s="131" t="s">
        <v>444</v>
      </c>
      <c r="C49" s="136" t="s">
        <v>398</v>
      </c>
      <c r="D49" s="179"/>
      <c r="E49" s="179"/>
      <c r="F49" s="179"/>
    </row>
    <row r="50" spans="1:6" x14ac:dyDescent="0.3">
      <c r="A50" s="44" t="s">
        <v>70</v>
      </c>
      <c r="B50" s="131" t="s">
        <v>444</v>
      </c>
      <c r="C50" s="136" t="s">
        <v>399</v>
      </c>
      <c r="D50" s="179"/>
      <c r="E50" s="179"/>
      <c r="F50" s="179"/>
    </row>
    <row r="51" spans="1:6" x14ac:dyDescent="0.3">
      <c r="A51" s="44" t="s">
        <v>71</v>
      </c>
      <c r="B51" s="131" t="s">
        <v>444</v>
      </c>
      <c r="C51" s="136" t="s">
        <v>400</v>
      </c>
      <c r="D51" s="179"/>
      <c r="E51" s="179"/>
      <c r="F51" s="179"/>
    </row>
    <row r="52" spans="1:6" x14ac:dyDescent="0.3">
      <c r="A52" s="44" t="s">
        <v>72</v>
      </c>
      <c r="B52" s="131" t="s">
        <v>444</v>
      </c>
      <c r="C52" s="136" t="s">
        <v>401</v>
      </c>
      <c r="D52" s="179"/>
      <c r="E52" s="179"/>
      <c r="F52" s="179"/>
    </row>
    <row r="53" spans="1:6" x14ac:dyDescent="0.3">
      <c r="A53" s="44" t="s">
        <v>73</v>
      </c>
      <c r="B53" s="131" t="s">
        <v>444</v>
      </c>
      <c r="C53" s="136" t="s">
        <v>402</v>
      </c>
      <c r="D53" s="179"/>
      <c r="E53" s="179"/>
      <c r="F53" s="179"/>
    </row>
    <row r="54" spans="1:6" x14ac:dyDescent="0.3">
      <c r="A54" s="44" t="s">
        <v>74</v>
      </c>
      <c r="B54" s="131" t="s">
        <v>444</v>
      </c>
      <c r="C54" s="136" t="s">
        <v>403</v>
      </c>
      <c r="D54" s="179"/>
      <c r="E54" s="179"/>
      <c r="F54" s="179"/>
    </row>
    <row r="55" spans="1:6" x14ac:dyDescent="0.3">
      <c r="A55" s="44" t="s">
        <v>80</v>
      </c>
      <c r="B55" s="131" t="s">
        <v>444</v>
      </c>
      <c r="C55" s="137" t="s">
        <v>470</v>
      </c>
      <c r="D55" s="179"/>
      <c r="E55" s="179"/>
      <c r="F55" s="179"/>
    </row>
    <row r="56" spans="1:6" x14ac:dyDescent="0.3">
      <c r="A56" s="44" t="s">
        <v>81</v>
      </c>
      <c r="B56" s="131" t="s">
        <v>444</v>
      </c>
      <c r="C56" s="136" t="s">
        <v>404</v>
      </c>
      <c r="D56" s="179"/>
      <c r="E56" s="179"/>
      <c r="F56" s="179"/>
    </row>
    <row r="57" spans="1:6" x14ac:dyDescent="0.3">
      <c r="A57" s="44" t="s">
        <v>82</v>
      </c>
      <c r="B57" s="131" t="s">
        <v>444</v>
      </c>
      <c r="C57" s="136" t="s">
        <v>471</v>
      </c>
      <c r="D57" s="179"/>
      <c r="E57" s="179"/>
      <c r="F57" s="179"/>
    </row>
    <row r="58" spans="1:6" x14ac:dyDescent="0.3">
      <c r="A58" s="44" t="s">
        <v>83</v>
      </c>
      <c r="B58" s="131" t="s">
        <v>444</v>
      </c>
      <c r="C58" s="136" t="s">
        <v>405</v>
      </c>
      <c r="D58" s="179"/>
      <c r="E58" s="179"/>
      <c r="F58" s="179"/>
    </row>
    <row r="59" spans="1:6" x14ac:dyDescent="0.3">
      <c r="A59" s="44" t="s">
        <v>84</v>
      </c>
      <c r="B59" s="131" t="s">
        <v>444</v>
      </c>
      <c r="C59" s="136" t="s">
        <v>472</v>
      </c>
      <c r="D59" s="179"/>
      <c r="E59" s="179"/>
      <c r="F59" s="179"/>
    </row>
    <row r="60" spans="1:6" x14ac:dyDescent="0.3">
      <c r="A60" s="44" t="s">
        <v>85</v>
      </c>
      <c r="B60" s="131" t="s">
        <v>444</v>
      </c>
      <c r="C60" s="136" t="s">
        <v>473</v>
      </c>
      <c r="D60" s="179"/>
      <c r="E60" s="179"/>
      <c r="F60" s="179"/>
    </row>
    <row r="61" spans="1:6" x14ac:dyDescent="0.3">
      <c r="A61" s="127" t="s">
        <v>13</v>
      </c>
      <c r="B61" s="130" t="s">
        <v>445</v>
      </c>
      <c r="C61" s="134" t="s">
        <v>474</v>
      </c>
      <c r="D61" s="177"/>
      <c r="E61" s="177"/>
      <c r="F61" s="177"/>
    </row>
    <row r="62" spans="1:6" s="33" customFormat="1" x14ac:dyDescent="0.3">
      <c r="A62" s="170" t="s">
        <v>354</v>
      </c>
      <c r="B62" s="131" t="s">
        <v>444</v>
      </c>
      <c r="C62" s="138" t="s">
        <v>475</v>
      </c>
      <c r="D62" s="180"/>
      <c r="E62" s="180"/>
      <c r="F62" s="180"/>
    </row>
    <row r="63" spans="1:6" x14ac:dyDescent="0.3">
      <c r="A63" s="169" t="s">
        <v>15</v>
      </c>
      <c r="B63" s="131" t="s">
        <v>444</v>
      </c>
      <c r="C63" s="136" t="s">
        <v>476</v>
      </c>
      <c r="D63" s="179"/>
      <c r="E63" s="179"/>
      <c r="F63" s="179"/>
    </row>
    <row r="64" spans="1:6" x14ac:dyDescent="0.3">
      <c r="A64" s="169" t="s">
        <v>199</v>
      </c>
      <c r="B64" s="131" t="s">
        <v>444</v>
      </c>
      <c r="C64" s="136" t="s">
        <v>477</v>
      </c>
      <c r="D64" s="179"/>
      <c r="E64" s="179"/>
      <c r="F64" s="179"/>
    </row>
    <row r="65" spans="1:6" x14ac:dyDescent="0.3">
      <c r="A65" s="169" t="s">
        <v>16</v>
      </c>
      <c r="B65" s="131" t="s">
        <v>444</v>
      </c>
      <c r="C65" s="136" t="s">
        <v>478</v>
      </c>
      <c r="D65" s="179"/>
      <c r="E65" s="179"/>
      <c r="F65" s="179"/>
    </row>
    <row r="66" spans="1:6" x14ac:dyDescent="0.3">
      <c r="A66" s="169" t="s">
        <v>198</v>
      </c>
      <c r="B66" s="131" t="s">
        <v>444</v>
      </c>
      <c r="C66" s="136" t="s">
        <v>479</v>
      </c>
      <c r="D66" s="179"/>
      <c r="E66" s="179"/>
      <c r="F66" s="179"/>
    </row>
    <row r="67" spans="1:6" x14ac:dyDescent="0.3">
      <c r="A67" s="169" t="s">
        <v>17</v>
      </c>
      <c r="B67" s="131" t="s">
        <v>444</v>
      </c>
      <c r="C67" s="136" t="s">
        <v>480</v>
      </c>
      <c r="D67" s="179"/>
      <c r="E67" s="179"/>
      <c r="F67" s="179"/>
    </row>
    <row r="68" spans="1:6" x14ac:dyDescent="0.3">
      <c r="A68" s="169" t="s">
        <v>360</v>
      </c>
      <c r="B68" s="131" t="s">
        <v>444</v>
      </c>
      <c r="C68" s="136" t="s">
        <v>481</v>
      </c>
      <c r="D68" s="179"/>
      <c r="E68" s="179"/>
      <c r="F68" s="179"/>
    </row>
    <row r="69" spans="1:6" x14ac:dyDescent="0.3">
      <c r="A69" s="169" t="s">
        <v>181</v>
      </c>
      <c r="B69" s="131" t="s">
        <v>444</v>
      </c>
      <c r="C69" s="136" t="s">
        <v>482</v>
      </c>
      <c r="D69" s="179"/>
      <c r="E69" s="179"/>
      <c r="F69" s="179"/>
    </row>
    <row r="70" spans="1:6" x14ac:dyDescent="0.3">
      <c r="A70" s="169" t="s">
        <v>185</v>
      </c>
      <c r="B70" s="131" t="s">
        <v>444</v>
      </c>
      <c r="C70" s="136" t="s">
        <v>483</v>
      </c>
      <c r="D70" s="179"/>
      <c r="E70" s="179"/>
      <c r="F70" s="179"/>
    </row>
    <row r="71" spans="1:6" x14ac:dyDescent="0.3">
      <c r="A71" s="169" t="s">
        <v>187</v>
      </c>
      <c r="B71" s="131" t="s">
        <v>444</v>
      </c>
      <c r="C71" s="136" t="s">
        <v>484</v>
      </c>
      <c r="D71" s="179"/>
      <c r="E71" s="179"/>
      <c r="F71" s="179"/>
    </row>
    <row r="72" spans="1:6" x14ac:dyDescent="0.3">
      <c r="A72" s="169" t="s">
        <v>182</v>
      </c>
      <c r="B72" s="131" t="s">
        <v>444</v>
      </c>
      <c r="C72" s="136" t="s">
        <v>485</v>
      </c>
      <c r="D72" s="179"/>
      <c r="E72" s="179"/>
      <c r="F72" s="179"/>
    </row>
    <row r="73" spans="1:6" x14ac:dyDescent="0.3">
      <c r="A73" s="169" t="s">
        <v>183</v>
      </c>
      <c r="B73" s="131" t="s">
        <v>444</v>
      </c>
      <c r="C73" s="136" t="s">
        <v>486</v>
      </c>
      <c r="D73" s="179"/>
      <c r="E73" s="179"/>
      <c r="F73" s="179"/>
    </row>
    <row r="74" spans="1:6" x14ac:dyDescent="0.3">
      <c r="A74" s="169" t="s">
        <v>184</v>
      </c>
      <c r="B74" s="131" t="s">
        <v>444</v>
      </c>
      <c r="C74" s="136" t="s">
        <v>487</v>
      </c>
      <c r="D74" s="179"/>
      <c r="E74" s="179"/>
      <c r="F74" s="179"/>
    </row>
    <row r="75" spans="1:6" x14ac:dyDescent="0.3">
      <c r="A75" s="169" t="s">
        <v>186</v>
      </c>
      <c r="B75" s="131" t="s">
        <v>444</v>
      </c>
      <c r="C75" s="136" t="s">
        <v>488</v>
      </c>
      <c r="D75" s="179"/>
      <c r="E75" s="179"/>
      <c r="F75" s="179"/>
    </row>
    <row r="76" spans="1:6" x14ac:dyDescent="0.3">
      <c r="A76" s="127" t="s">
        <v>39</v>
      </c>
      <c r="B76" s="130" t="s">
        <v>445</v>
      </c>
      <c r="C76" s="134" t="s">
        <v>206</v>
      </c>
      <c r="D76" s="177"/>
      <c r="E76" s="177"/>
      <c r="F76" s="177"/>
    </row>
    <row r="77" spans="1:6" x14ac:dyDescent="0.3">
      <c r="A77" s="171" t="s">
        <v>327</v>
      </c>
      <c r="B77" s="193" t="s">
        <v>684</v>
      </c>
      <c r="C77" s="136" t="s">
        <v>454</v>
      </c>
      <c r="D77" s="179"/>
      <c r="E77" s="179"/>
      <c r="F77" s="179"/>
    </row>
    <row r="78" spans="1:6" x14ac:dyDescent="0.3">
      <c r="A78" s="171" t="s">
        <v>328</v>
      </c>
      <c r="B78" s="194"/>
      <c r="C78" s="136" t="s">
        <v>455</v>
      </c>
      <c r="D78" s="179"/>
      <c r="E78" s="179"/>
      <c r="F78" s="179"/>
    </row>
    <row r="79" spans="1:6" x14ac:dyDescent="0.3">
      <c r="A79" s="171" t="s">
        <v>329</v>
      </c>
      <c r="B79" s="194"/>
      <c r="C79" s="136" t="s">
        <v>456</v>
      </c>
      <c r="D79" s="179"/>
      <c r="E79" s="179"/>
      <c r="F79" s="179"/>
    </row>
    <row r="80" spans="1:6" x14ac:dyDescent="0.3">
      <c r="A80" s="171" t="s">
        <v>330</v>
      </c>
      <c r="B80" s="194"/>
      <c r="C80" s="136" t="s">
        <v>457</v>
      </c>
      <c r="D80" s="179"/>
      <c r="E80" s="179"/>
      <c r="F80" s="179"/>
    </row>
    <row r="81" spans="1:6" x14ac:dyDescent="0.3">
      <c r="A81" s="171" t="s">
        <v>331</v>
      </c>
      <c r="B81" s="194"/>
      <c r="C81" s="136" t="s">
        <v>458</v>
      </c>
      <c r="D81" s="179"/>
      <c r="E81" s="179"/>
      <c r="F81" s="179"/>
    </row>
    <row r="82" spans="1:6" x14ac:dyDescent="0.3">
      <c r="A82" s="171" t="s">
        <v>332</v>
      </c>
      <c r="B82" s="194"/>
      <c r="C82" s="136" t="s">
        <v>459</v>
      </c>
      <c r="D82" s="179"/>
      <c r="E82" s="179"/>
      <c r="F82" s="179"/>
    </row>
    <row r="83" spans="1:6" x14ac:dyDescent="0.3">
      <c r="A83" s="171" t="s">
        <v>334</v>
      </c>
      <c r="B83" s="195"/>
      <c r="C83" s="136" t="s">
        <v>460</v>
      </c>
      <c r="D83" s="179"/>
      <c r="E83" s="179"/>
      <c r="F83" s="179"/>
    </row>
    <row r="84" spans="1:6" x14ac:dyDescent="0.3">
      <c r="A84" s="171" t="s">
        <v>49</v>
      </c>
      <c r="B84" s="131" t="s">
        <v>444</v>
      </c>
      <c r="C84" s="136" t="s">
        <v>448</v>
      </c>
      <c r="D84" s="179"/>
      <c r="E84" s="179"/>
      <c r="F84" s="179"/>
    </row>
    <row r="85" spans="1:6" x14ac:dyDescent="0.3">
      <c r="A85" s="171" t="s">
        <v>50</v>
      </c>
      <c r="B85" s="131" t="s">
        <v>444</v>
      </c>
      <c r="C85" s="136" t="s">
        <v>449</v>
      </c>
      <c r="D85" s="179"/>
      <c r="E85" s="179"/>
      <c r="F85" s="179"/>
    </row>
    <row r="86" spans="1:6" x14ac:dyDescent="0.3">
      <c r="A86" s="171" t="s">
        <v>51</v>
      </c>
      <c r="B86" s="131" t="s">
        <v>444</v>
      </c>
      <c r="C86" s="136" t="s">
        <v>450</v>
      </c>
      <c r="D86" s="179"/>
      <c r="E86" s="179"/>
      <c r="F86" s="179"/>
    </row>
    <row r="87" spans="1:6" x14ac:dyDescent="0.3">
      <c r="A87" s="171" t="s">
        <v>52</v>
      </c>
      <c r="B87" s="131" t="s">
        <v>444</v>
      </c>
      <c r="C87" s="136" t="s">
        <v>451</v>
      </c>
      <c r="D87" s="179"/>
      <c r="E87" s="179"/>
      <c r="F87" s="179"/>
    </row>
    <row r="88" spans="1:6" x14ac:dyDescent="0.3">
      <c r="A88" s="127" t="s">
        <v>149</v>
      </c>
      <c r="B88" s="130" t="s">
        <v>445</v>
      </c>
      <c r="C88" s="134" t="s">
        <v>489</v>
      </c>
      <c r="D88" s="177"/>
      <c r="E88" s="177"/>
      <c r="F88" s="177"/>
    </row>
    <row r="89" spans="1:6" x14ac:dyDescent="0.3">
      <c r="A89" s="169" t="s">
        <v>59</v>
      </c>
      <c r="B89" s="131" t="s">
        <v>444</v>
      </c>
      <c r="C89" s="136" t="s">
        <v>490</v>
      </c>
      <c r="D89" s="179"/>
      <c r="E89" s="179"/>
      <c r="F89" s="179"/>
    </row>
    <row r="90" spans="1:6" x14ac:dyDescent="0.3">
      <c r="A90" s="169" t="s">
        <v>60</v>
      </c>
      <c r="B90" s="131" t="s">
        <v>444</v>
      </c>
      <c r="C90" s="136" t="s">
        <v>491</v>
      </c>
      <c r="D90" s="179"/>
      <c r="E90" s="179"/>
      <c r="F90" s="179"/>
    </row>
    <row r="91" spans="1:6" x14ac:dyDescent="0.3">
      <c r="A91" s="169" t="s">
        <v>61</v>
      </c>
      <c r="B91" s="131" t="s">
        <v>444</v>
      </c>
      <c r="C91" s="136" t="s">
        <v>492</v>
      </c>
      <c r="D91" s="179"/>
      <c r="E91" s="179"/>
      <c r="F91" s="179"/>
    </row>
    <row r="92" spans="1:6" x14ac:dyDescent="0.3">
      <c r="A92" s="169" t="s">
        <v>62</v>
      </c>
      <c r="B92" s="131" t="s">
        <v>444</v>
      </c>
      <c r="C92" s="136" t="s">
        <v>493</v>
      </c>
      <c r="D92" s="179"/>
      <c r="E92" s="179"/>
      <c r="F92" s="179"/>
    </row>
    <row r="93" spans="1:6" x14ac:dyDescent="0.3">
      <c r="A93" s="169" t="s">
        <v>154</v>
      </c>
      <c r="B93" s="131" t="s">
        <v>444</v>
      </c>
      <c r="C93" s="136" t="s">
        <v>494</v>
      </c>
      <c r="D93" s="179"/>
      <c r="E93" s="179"/>
      <c r="F93" s="179"/>
    </row>
    <row r="94" spans="1:6" x14ac:dyDescent="0.3">
      <c r="A94" s="169" t="s">
        <v>63</v>
      </c>
      <c r="B94" s="131" t="s">
        <v>444</v>
      </c>
      <c r="C94" s="136" t="s">
        <v>495</v>
      </c>
      <c r="D94" s="179"/>
      <c r="E94" s="179"/>
      <c r="F94" s="179"/>
    </row>
    <row r="95" spans="1:6" x14ac:dyDescent="0.3">
      <c r="A95" s="127" t="s">
        <v>155</v>
      </c>
      <c r="B95" s="130" t="s">
        <v>158</v>
      </c>
      <c r="C95" s="134" t="s">
        <v>444</v>
      </c>
      <c r="D95" s="177"/>
      <c r="E95" s="177"/>
      <c r="F95" s="177"/>
    </row>
    <row r="96" spans="1:6" x14ac:dyDescent="0.3">
      <c r="A96" s="169" t="s">
        <v>365</v>
      </c>
      <c r="B96" s="131" t="s">
        <v>159</v>
      </c>
      <c r="C96" s="136" t="s">
        <v>239</v>
      </c>
      <c r="D96" s="179"/>
      <c r="E96" s="179"/>
      <c r="F96" s="179"/>
    </row>
    <row r="97" spans="1:6" x14ac:dyDescent="0.3">
      <c r="A97" s="172" t="s">
        <v>146</v>
      </c>
      <c r="B97" s="131" t="s">
        <v>444</v>
      </c>
      <c r="C97" s="136" t="s">
        <v>240</v>
      </c>
      <c r="D97" s="179"/>
      <c r="E97" s="179"/>
      <c r="F97" s="179"/>
    </row>
    <row r="98" spans="1:6" x14ac:dyDescent="0.3">
      <c r="A98" s="172" t="s">
        <v>163</v>
      </c>
      <c r="B98" s="131" t="s">
        <v>165</v>
      </c>
      <c r="C98" s="136" t="s">
        <v>223</v>
      </c>
      <c r="D98" s="179"/>
      <c r="E98" s="179"/>
      <c r="F98" s="179"/>
    </row>
    <row r="99" spans="1:6" x14ac:dyDescent="0.3">
      <c r="A99" s="172" t="s">
        <v>175</v>
      </c>
      <c r="B99" s="131" t="s">
        <v>165</v>
      </c>
      <c r="C99" s="136" t="s">
        <v>533</v>
      </c>
      <c r="D99" s="179"/>
      <c r="E99" s="179"/>
      <c r="F99" s="179"/>
    </row>
    <row r="100" spans="1:6" x14ac:dyDescent="0.3">
      <c r="A100" s="172" t="s">
        <v>150</v>
      </c>
      <c r="B100" s="131" t="s">
        <v>165</v>
      </c>
      <c r="C100" s="136" t="s">
        <v>224</v>
      </c>
      <c r="D100" s="179"/>
      <c r="E100" s="179"/>
      <c r="F100" s="179"/>
    </row>
    <row r="101" spans="1:6" x14ac:dyDescent="0.3">
      <c r="A101" s="172" t="s">
        <v>164</v>
      </c>
      <c r="B101" s="131" t="s">
        <v>165</v>
      </c>
      <c r="C101" s="136" t="s">
        <v>225</v>
      </c>
      <c r="D101" s="179"/>
      <c r="E101" s="179"/>
      <c r="F101" s="179"/>
    </row>
    <row r="102" spans="1:6" ht="86.4" x14ac:dyDescent="0.3">
      <c r="A102" s="173" t="s">
        <v>202</v>
      </c>
      <c r="B102" s="132" t="s">
        <v>160</v>
      </c>
      <c r="C102" s="44" t="s">
        <v>238</v>
      </c>
      <c r="D102" s="181"/>
      <c r="E102" s="181"/>
      <c r="F102" s="181"/>
    </row>
    <row r="103" spans="1:6" ht="28.8" x14ac:dyDescent="0.3">
      <c r="A103" s="172" t="s">
        <v>110</v>
      </c>
      <c r="B103" s="131" t="s">
        <v>161</v>
      </c>
      <c r="C103" s="136" t="s">
        <v>226</v>
      </c>
      <c r="D103" s="179"/>
      <c r="E103" s="179"/>
      <c r="F103" s="179"/>
    </row>
    <row r="104" spans="1:6" x14ac:dyDescent="0.3">
      <c r="A104" s="172" t="s">
        <v>127</v>
      </c>
      <c r="B104" s="131" t="s">
        <v>444</v>
      </c>
      <c r="C104" s="136" t="s">
        <v>227</v>
      </c>
      <c r="D104" s="179"/>
      <c r="E104" s="179"/>
      <c r="F104" s="179"/>
    </row>
    <row r="105" spans="1:6" x14ac:dyDescent="0.3">
      <c r="A105" s="172" t="s">
        <v>140</v>
      </c>
      <c r="B105" s="131" t="s">
        <v>444</v>
      </c>
      <c r="C105" s="136" t="s">
        <v>228</v>
      </c>
      <c r="D105" s="179"/>
      <c r="E105" s="179"/>
      <c r="F105" s="179"/>
    </row>
    <row r="106" spans="1:6" x14ac:dyDescent="0.3">
      <c r="A106" s="172" t="s">
        <v>124</v>
      </c>
      <c r="B106" s="131" t="s">
        <v>444</v>
      </c>
      <c r="C106" s="136" t="s">
        <v>229</v>
      </c>
      <c r="D106" s="179"/>
      <c r="E106" s="179"/>
      <c r="F106" s="179"/>
    </row>
    <row r="107" spans="1:6" x14ac:dyDescent="0.3">
      <c r="A107" s="172" t="s">
        <v>125</v>
      </c>
      <c r="B107" s="131" t="s">
        <v>444</v>
      </c>
      <c r="C107" s="136" t="s">
        <v>230</v>
      </c>
      <c r="D107" s="179"/>
      <c r="E107" s="179"/>
      <c r="F107" s="179"/>
    </row>
    <row r="108" spans="1:6" x14ac:dyDescent="0.3">
      <c r="A108" s="172" t="s">
        <v>130</v>
      </c>
      <c r="B108" s="131" t="s">
        <v>444</v>
      </c>
      <c r="C108" s="136" t="s">
        <v>231</v>
      </c>
      <c r="D108" s="179"/>
      <c r="E108" s="179"/>
      <c r="F108" s="179"/>
    </row>
    <row r="109" spans="1:6" x14ac:dyDescent="0.3">
      <c r="A109" s="172" t="s">
        <v>131</v>
      </c>
      <c r="B109" s="131" t="s">
        <v>444</v>
      </c>
      <c r="C109" s="136" t="s">
        <v>232</v>
      </c>
      <c r="D109" s="179"/>
      <c r="E109" s="179"/>
      <c r="F109" s="179"/>
    </row>
    <row r="110" spans="1:6" x14ac:dyDescent="0.3">
      <c r="A110" s="172" t="s">
        <v>133</v>
      </c>
      <c r="B110" s="131" t="s">
        <v>159</v>
      </c>
      <c r="C110" s="136" t="s">
        <v>233</v>
      </c>
      <c r="D110" s="179"/>
      <c r="E110" s="179"/>
      <c r="F110" s="179"/>
    </row>
    <row r="111" spans="1:6" x14ac:dyDescent="0.3">
      <c r="A111" s="172" t="s">
        <v>134</v>
      </c>
      <c r="B111" s="131" t="s">
        <v>159</v>
      </c>
      <c r="C111" s="136" t="s">
        <v>234</v>
      </c>
      <c r="D111" s="179"/>
      <c r="E111" s="179"/>
      <c r="F111" s="179"/>
    </row>
    <row r="112" spans="1:6" x14ac:dyDescent="0.3">
      <c r="A112" s="172" t="s">
        <v>135</v>
      </c>
      <c r="B112" s="131" t="s">
        <v>159</v>
      </c>
      <c r="C112" s="136" t="s">
        <v>235</v>
      </c>
      <c r="D112" s="179"/>
      <c r="E112" s="179"/>
      <c r="F112" s="179"/>
    </row>
    <row r="113" spans="1:6" x14ac:dyDescent="0.3">
      <c r="A113" s="172" t="s">
        <v>138</v>
      </c>
      <c r="B113" s="131" t="s">
        <v>159</v>
      </c>
      <c r="C113" s="136" t="s">
        <v>236</v>
      </c>
      <c r="D113" s="179"/>
      <c r="E113" s="179"/>
      <c r="F113" s="179"/>
    </row>
    <row r="114" spans="1:6" x14ac:dyDescent="0.3">
      <c r="A114" s="172" t="s">
        <v>152</v>
      </c>
      <c r="B114" s="131" t="s">
        <v>444</v>
      </c>
      <c r="C114" s="136" t="s">
        <v>496</v>
      </c>
      <c r="D114" s="179"/>
      <c r="E114" s="179"/>
      <c r="F114" s="179"/>
    </row>
    <row r="115" spans="1:6" x14ac:dyDescent="0.3">
      <c r="A115" s="172" t="s">
        <v>126</v>
      </c>
      <c r="B115" s="131" t="s">
        <v>444</v>
      </c>
      <c r="C115" s="136" t="s">
        <v>497</v>
      </c>
      <c r="D115" s="179"/>
      <c r="E115" s="179"/>
      <c r="F115" s="179"/>
    </row>
    <row r="116" spans="1:6" ht="28.8" x14ac:dyDescent="0.3">
      <c r="A116" s="172" t="s">
        <v>176</v>
      </c>
      <c r="B116" s="131" t="s">
        <v>444</v>
      </c>
      <c r="C116" s="136" t="s">
        <v>498</v>
      </c>
      <c r="D116" s="179"/>
      <c r="E116" s="179"/>
      <c r="F116" s="179"/>
    </row>
    <row r="117" spans="1:6" x14ac:dyDescent="0.3">
      <c r="A117" s="172" t="s">
        <v>136</v>
      </c>
      <c r="B117" s="131" t="s">
        <v>444</v>
      </c>
      <c r="C117" s="136" t="s">
        <v>499</v>
      </c>
      <c r="D117" s="179"/>
      <c r="E117" s="179"/>
      <c r="F117" s="179"/>
    </row>
    <row r="118" spans="1:6" x14ac:dyDescent="0.3">
      <c r="A118" s="172" t="s">
        <v>137</v>
      </c>
      <c r="B118" s="131" t="s">
        <v>444</v>
      </c>
      <c r="C118" s="136" t="s">
        <v>500</v>
      </c>
      <c r="D118" s="179"/>
      <c r="E118" s="179"/>
      <c r="F118" s="179"/>
    </row>
    <row r="119" spans="1:6" x14ac:dyDescent="0.3">
      <c r="A119" s="172" t="s">
        <v>139</v>
      </c>
      <c r="B119" s="131" t="s">
        <v>444</v>
      </c>
      <c r="C119" s="136" t="s">
        <v>501</v>
      </c>
      <c r="D119" s="179"/>
      <c r="E119" s="179"/>
      <c r="F119" s="179"/>
    </row>
    <row r="120" spans="1:6" x14ac:dyDescent="0.3">
      <c r="A120" s="172" t="s">
        <v>151</v>
      </c>
      <c r="B120" s="131" t="s">
        <v>444</v>
      </c>
      <c r="C120" s="136" t="s">
        <v>502</v>
      </c>
      <c r="D120" s="179"/>
      <c r="E120" s="179"/>
      <c r="F120" s="179"/>
    </row>
    <row r="121" spans="1:6" x14ac:dyDescent="0.3">
      <c r="A121" s="172" t="s">
        <v>200</v>
      </c>
      <c r="B121" s="131" t="s">
        <v>444</v>
      </c>
      <c r="C121" s="136" t="s">
        <v>503</v>
      </c>
      <c r="D121" s="179"/>
      <c r="E121" s="179"/>
      <c r="F121" s="179"/>
    </row>
    <row r="122" spans="1:6" x14ac:dyDescent="0.3">
      <c r="A122" s="172" t="s">
        <v>171</v>
      </c>
      <c r="B122" s="131" t="s">
        <v>444</v>
      </c>
      <c r="C122" s="136" t="s">
        <v>237</v>
      </c>
      <c r="D122" s="179"/>
      <c r="E122" s="179"/>
      <c r="F122" s="179"/>
    </row>
    <row r="123" spans="1:6" x14ac:dyDescent="0.3">
      <c r="A123" s="172" t="s">
        <v>58</v>
      </c>
      <c r="B123" s="131" t="s">
        <v>444</v>
      </c>
      <c r="C123" s="136" t="s">
        <v>504</v>
      </c>
      <c r="D123" s="179"/>
      <c r="E123" s="179"/>
      <c r="F123" s="179"/>
    </row>
    <row r="124" spans="1:6" x14ac:dyDescent="0.3">
      <c r="A124" s="169" t="s">
        <v>339</v>
      </c>
      <c r="B124" s="131" t="s">
        <v>159</v>
      </c>
      <c r="C124" s="136" t="s">
        <v>336</v>
      </c>
      <c r="D124" s="179"/>
      <c r="E124" s="179"/>
      <c r="F124" s="179"/>
    </row>
    <row r="125" spans="1:6" x14ac:dyDescent="0.3">
      <c r="A125" s="169" t="s">
        <v>340</v>
      </c>
      <c r="B125" s="131" t="s">
        <v>159</v>
      </c>
      <c r="C125" s="136" t="s">
        <v>337</v>
      </c>
      <c r="D125" s="179"/>
      <c r="E125" s="179"/>
      <c r="F125" s="179"/>
    </row>
    <row r="126" spans="1:6" s="142" customFormat="1" hidden="1" x14ac:dyDescent="0.3">
      <c r="A126" s="139" t="s">
        <v>335</v>
      </c>
      <c r="B126" s="140" t="s">
        <v>534</v>
      </c>
      <c r="C126" s="141" t="s">
        <v>338</v>
      </c>
      <c r="D126" s="182"/>
      <c r="E126" s="182"/>
      <c r="F126" s="182"/>
    </row>
    <row r="127" spans="1:6" ht="43.2" x14ac:dyDescent="0.3">
      <c r="A127" s="169" t="s">
        <v>341</v>
      </c>
      <c r="B127" s="131" t="s">
        <v>444</v>
      </c>
      <c r="C127" s="136" t="s">
        <v>535</v>
      </c>
      <c r="D127" s="179"/>
      <c r="E127" s="179"/>
      <c r="F127" s="179"/>
    </row>
    <row r="128" spans="1:6" x14ac:dyDescent="0.3">
      <c r="A128" s="169" t="s">
        <v>355</v>
      </c>
      <c r="B128" s="131" t="s">
        <v>444</v>
      </c>
      <c r="C128" s="136" t="s">
        <v>505</v>
      </c>
      <c r="D128" s="179"/>
      <c r="E128" s="179"/>
      <c r="F128" s="179"/>
    </row>
    <row r="129" spans="1:6" ht="28.8" x14ac:dyDescent="0.3">
      <c r="A129" s="169" t="s">
        <v>359</v>
      </c>
      <c r="B129" s="131" t="s">
        <v>444</v>
      </c>
      <c r="C129" s="136" t="s">
        <v>506</v>
      </c>
      <c r="D129" s="179"/>
      <c r="E129" s="179"/>
      <c r="F129" s="179"/>
    </row>
    <row r="130" spans="1:6" x14ac:dyDescent="0.3">
      <c r="A130" s="169" t="s">
        <v>357</v>
      </c>
      <c r="B130" s="131" t="s">
        <v>444</v>
      </c>
      <c r="C130" s="136" t="s">
        <v>536</v>
      </c>
      <c r="D130" s="179"/>
      <c r="E130" s="179"/>
      <c r="F130" s="179"/>
    </row>
    <row r="131" spans="1:6" x14ac:dyDescent="0.3">
      <c r="A131" s="169" t="s">
        <v>356</v>
      </c>
      <c r="B131" s="131" t="s">
        <v>159</v>
      </c>
      <c r="C131" s="136" t="s">
        <v>507</v>
      </c>
      <c r="D131" s="179"/>
      <c r="E131" s="179"/>
      <c r="F131" s="179"/>
    </row>
    <row r="132" spans="1:6" x14ac:dyDescent="0.3">
      <c r="A132" s="169" t="s">
        <v>358</v>
      </c>
      <c r="B132" s="131" t="s">
        <v>159</v>
      </c>
      <c r="C132" s="136" t="s">
        <v>508</v>
      </c>
      <c r="D132" s="179"/>
      <c r="E132" s="179"/>
      <c r="F132" s="179"/>
    </row>
    <row r="133" spans="1:6" x14ac:dyDescent="0.3">
      <c r="A133" s="169" t="s">
        <v>361</v>
      </c>
      <c r="B133" s="131" t="s">
        <v>444</v>
      </c>
      <c r="C133" s="136" t="s">
        <v>505</v>
      </c>
      <c r="D133" s="179"/>
      <c r="E133" s="179"/>
      <c r="F133" s="179"/>
    </row>
    <row r="134" spans="1:6" ht="28.8" x14ac:dyDescent="0.3">
      <c r="A134" s="169" t="s">
        <v>362</v>
      </c>
      <c r="B134" s="131" t="s">
        <v>444</v>
      </c>
      <c r="C134" s="136" t="s">
        <v>506</v>
      </c>
      <c r="D134" s="179"/>
      <c r="E134" s="179"/>
      <c r="F134" s="179"/>
    </row>
    <row r="135" spans="1:6" x14ac:dyDescent="0.3">
      <c r="A135" s="169" t="s">
        <v>363</v>
      </c>
      <c r="B135" s="131" t="s">
        <v>444</v>
      </c>
      <c r="C135" s="136" t="s">
        <v>536</v>
      </c>
      <c r="D135" s="179"/>
      <c r="E135" s="179"/>
      <c r="F135" s="179"/>
    </row>
    <row r="136" spans="1:6" x14ac:dyDescent="0.3">
      <c r="A136" s="169" t="s">
        <v>366</v>
      </c>
      <c r="B136" s="131" t="s">
        <v>444</v>
      </c>
      <c r="C136" s="136" t="s">
        <v>509</v>
      </c>
      <c r="D136" s="179"/>
      <c r="E136" s="179"/>
      <c r="F136" s="179"/>
    </row>
    <row r="137" spans="1:6" x14ac:dyDescent="0.3">
      <c r="A137" s="169" t="s">
        <v>367</v>
      </c>
      <c r="B137" s="131" t="s">
        <v>444</v>
      </c>
      <c r="C137" s="136" t="s">
        <v>510</v>
      </c>
      <c r="D137" s="179"/>
      <c r="E137" s="179"/>
      <c r="F137" s="179"/>
    </row>
    <row r="138" spans="1:6" x14ac:dyDescent="0.3">
      <c r="A138" s="169" t="s">
        <v>368</v>
      </c>
      <c r="B138" s="131" t="s">
        <v>444</v>
      </c>
      <c r="C138" s="136" t="s">
        <v>510</v>
      </c>
      <c r="D138" s="179"/>
      <c r="E138" s="179"/>
      <c r="F138" s="179"/>
    </row>
    <row r="139" spans="1:6" x14ac:dyDescent="0.3">
      <c r="A139" s="169" t="s">
        <v>369</v>
      </c>
      <c r="B139" s="131" t="s">
        <v>159</v>
      </c>
      <c r="C139" s="136" t="s">
        <v>511</v>
      </c>
      <c r="D139" s="179"/>
      <c r="E139" s="179"/>
      <c r="F139" s="179"/>
    </row>
    <row r="140" spans="1:6" x14ac:dyDescent="0.3">
      <c r="A140" s="169" t="s">
        <v>373</v>
      </c>
      <c r="B140" s="131" t="s">
        <v>444</v>
      </c>
      <c r="C140" s="136" t="s">
        <v>374</v>
      </c>
      <c r="D140" s="179"/>
      <c r="E140" s="179"/>
      <c r="F140" s="179"/>
    </row>
    <row r="141" spans="1:6" ht="43.2" x14ac:dyDescent="0.3">
      <c r="A141" s="127" t="s">
        <v>144</v>
      </c>
      <c r="B141" s="130" t="s">
        <v>531</v>
      </c>
      <c r="C141" s="134" t="s">
        <v>530</v>
      </c>
      <c r="D141" s="177"/>
      <c r="E141" s="177"/>
      <c r="F141" s="177"/>
    </row>
    <row r="142" spans="1:6" ht="57.6" x14ac:dyDescent="0.3">
      <c r="A142" s="174" t="s">
        <v>166</v>
      </c>
      <c r="B142" s="131" t="s">
        <v>513</v>
      </c>
      <c r="C142" s="136" t="s">
        <v>512</v>
      </c>
      <c r="D142" s="179"/>
      <c r="E142" s="179"/>
      <c r="F142" s="179"/>
    </row>
    <row r="143" spans="1:6" x14ac:dyDescent="0.3">
      <c r="A143" s="169" t="s">
        <v>167</v>
      </c>
      <c r="B143" s="131" t="s">
        <v>444</v>
      </c>
      <c r="C143" s="136" t="s">
        <v>514</v>
      </c>
      <c r="D143" s="179"/>
      <c r="E143" s="179"/>
      <c r="F143" s="179"/>
    </row>
    <row r="144" spans="1:6" x14ac:dyDescent="0.3">
      <c r="A144" s="169" t="s">
        <v>168</v>
      </c>
      <c r="B144" s="131" t="s">
        <v>444</v>
      </c>
      <c r="C144" s="136" t="s">
        <v>532</v>
      </c>
      <c r="D144" s="179"/>
      <c r="E144" s="179"/>
      <c r="F144" s="179"/>
    </row>
    <row r="145" spans="1:6" x14ac:dyDescent="0.3">
      <c r="A145" s="169" t="s">
        <v>169</v>
      </c>
      <c r="B145" s="131" t="s">
        <v>444</v>
      </c>
      <c r="C145" s="136" t="s">
        <v>319</v>
      </c>
      <c r="D145" s="179"/>
      <c r="E145" s="179"/>
      <c r="F145" s="179"/>
    </row>
    <row r="146" spans="1:6" ht="28.8" x14ac:dyDescent="0.3">
      <c r="A146" s="174" t="s">
        <v>170</v>
      </c>
      <c r="B146" s="131" t="s">
        <v>513</v>
      </c>
      <c r="C146" s="136" t="s">
        <v>515</v>
      </c>
      <c r="D146" s="179"/>
      <c r="E146" s="179"/>
      <c r="F146" s="179"/>
    </row>
    <row r="147" spans="1:6" ht="57.6" x14ac:dyDescent="0.3">
      <c r="A147" s="174" t="s">
        <v>177</v>
      </c>
      <c r="B147" s="131" t="s">
        <v>513</v>
      </c>
      <c r="C147" s="136" t="s">
        <v>516</v>
      </c>
      <c r="D147" s="179"/>
      <c r="E147" s="179"/>
      <c r="F147" s="179"/>
    </row>
    <row r="148" spans="1:6" ht="43.2" x14ac:dyDescent="0.3">
      <c r="A148" s="174" t="s">
        <v>178</v>
      </c>
      <c r="B148" s="131" t="s">
        <v>513</v>
      </c>
      <c r="C148" s="136" t="s">
        <v>517</v>
      </c>
      <c r="D148" s="179"/>
      <c r="E148" s="179"/>
      <c r="F148" s="179"/>
    </row>
    <row r="149" spans="1:6" x14ac:dyDescent="0.3">
      <c r="A149" s="169" t="s">
        <v>342</v>
      </c>
      <c r="B149" s="131" t="s">
        <v>444</v>
      </c>
      <c r="C149" s="136" t="s">
        <v>518</v>
      </c>
      <c r="D149" s="179"/>
      <c r="E149" s="179"/>
      <c r="F149" s="179"/>
    </row>
    <row r="150" spans="1:6" ht="57.6" x14ac:dyDescent="0.3">
      <c r="A150" s="169" t="s">
        <v>364</v>
      </c>
      <c r="B150" s="131" t="s">
        <v>444</v>
      </c>
      <c r="C150" s="136" t="s">
        <v>519</v>
      </c>
      <c r="D150" s="179"/>
      <c r="E150" s="179"/>
      <c r="F150" s="179"/>
    </row>
    <row r="151" spans="1:6" x14ac:dyDescent="0.3">
      <c r="A151" s="169" t="s">
        <v>425</v>
      </c>
      <c r="B151" s="131" t="s">
        <v>525</v>
      </c>
      <c r="C151" s="136" t="s">
        <v>520</v>
      </c>
      <c r="D151" s="179"/>
      <c r="E151" s="179"/>
      <c r="F151" s="179"/>
    </row>
    <row r="152" spans="1:6" x14ac:dyDescent="0.3">
      <c r="A152" s="169" t="s">
        <v>426</v>
      </c>
      <c r="B152" s="131" t="s">
        <v>444</v>
      </c>
      <c r="C152" s="136" t="s">
        <v>521</v>
      </c>
      <c r="D152" s="179"/>
      <c r="E152" s="179"/>
      <c r="F152" s="179"/>
    </row>
    <row r="153" spans="1:6" x14ac:dyDescent="0.3">
      <c r="A153" s="169" t="s">
        <v>429</v>
      </c>
      <c r="B153" s="131" t="s">
        <v>525</v>
      </c>
      <c r="C153" s="136" t="s">
        <v>522</v>
      </c>
      <c r="D153" s="179"/>
      <c r="E153" s="179"/>
      <c r="F153" s="179"/>
    </row>
    <row r="154" spans="1:6" ht="28.8" x14ac:dyDescent="0.3">
      <c r="A154" s="169" t="s">
        <v>430</v>
      </c>
      <c r="B154" s="131" t="s">
        <v>524</v>
      </c>
      <c r="C154" s="136" t="s">
        <v>523</v>
      </c>
      <c r="D154" s="179"/>
      <c r="E154" s="179"/>
      <c r="F154" s="179"/>
    </row>
    <row r="155" spans="1:6" x14ac:dyDescent="0.3">
      <c r="A155" s="169" t="s">
        <v>432</v>
      </c>
      <c r="B155" s="131" t="s">
        <v>525</v>
      </c>
      <c r="C155" s="136" t="s">
        <v>526</v>
      </c>
      <c r="D155" s="179"/>
      <c r="E155" s="179"/>
      <c r="F155" s="179"/>
    </row>
    <row r="156" spans="1:6" x14ac:dyDescent="0.3">
      <c r="A156" s="169" t="s">
        <v>433</v>
      </c>
      <c r="B156" s="131" t="s">
        <v>444</v>
      </c>
      <c r="C156" s="136" t="s">
        <v>527</v>
      </c>
      <c r="D156" s="179"/>
      <c r="E156" s="179"/>
      <c r="F156" s="179"/>
    </row>
    <row r="157" spans="1:6" ht="28.8" x14ac:dyDescent="0.3">
      <c r="A157" s="169" t="s">
        <v>437</v>
      </c>
      <c r="B157" s="131" t="s">
        <v>524</v>
      </c>
      <c r="C157" s="136" t="s">
        <v>523</v>
      </c>
      <c r="D157" s="179"/>
      <c r="E157" s="179"/>
      <c r="F157" s="179"/>
    </row>
    <row r="158" spans="1:6" x14ac:dyDescent="0.3">
      <c r="A158" s="169" t="s">
        <v>438</v>
      </c>
      <c r="B158" s="131" t="s">
        <v>444</v>
      </c>
      <c r="C158" s="136" t="s">
        <v>527</v>
      </c>
      <c r="D158" s="179"/>
      <c r="E158" s="179"/>
      <c r="F158" s="179"/>
    </row>
    <row r="159" spans="1:6" ht="28.8" x14ac:dyDescent="0.3">
      <c r="A159" s="169" t="s">
        <v>441</v>
      </c>
      <c r="B159" s="131" t="s">
        <v>444</v>
      </c>
      <c r="C159" s="136" t="s">
        <v>528</v>
      </c>
      <c r="D159" s="179"/>
      <c r="E159" s="179"/>
      <c r="F159" s="179"/>
    </row>
    <row r="160" spans="1:6" x14ac:dyDescent="0.3">
      <c r="A160" s="169" t="s">
        <v>440</v>
      </c>
      <c r="B160" s="131" t="s">
        <v>525</v>
      </c>
      <c r="C160" s="136" t="s">
        <v>529</v>
      </c>
      <c r="D160" s="179"/>
      <c r="E160" s="179"/>
      <c r="F160" s="179"/>
    </row>
    <row r="161" spans="1:6" x14ac:dyDescent="0.3">
      <c r="A161" s="127" t="s">
        <v>559</v>
      </c>
      <c r="B161" s="130" t="s">
        <v>158</v>
      </c>
      <c r="C161" s="134" t="s">
        <v>444</v>
      </c>
      <c r="D161" s="177"/>
      <c r="E161" s="177"/>
      <c r="F161" s="177"/>
    </row>
    <row r="162" spans="1:6" x14ac:dyDescent="0.3">
      <c r="A162" s="169" t="s">
        <v>560</v>
      </c>
      <c r="B162" s="131" t="s">
        <v>444</v>
      </c>
      <c r="C162" s="136" t="s">
        <v>565</v>
      </c>
      <c r="D162" s="179"/>
      <c r="E162" s="179"/>
      <c r="F162" s="179"/>
    </row>
    <row r="163" spans="1:6" x14ac:dyDescent="0.3">
      <c r="A163" s="169" t="s">
        <v>561</v>
      </c>
      <c r="B163" s="131" t="s">
        <v>444</v>
      </c>
      <c r="C163" s="136" t="s">
        <v>566</v>
      </c>
      <c r="D163" s="179"/>
      <c r="E163" s="179"/>
      <c r="F163" s="179"/>
    </row>
    <row r="164" spans="1:6" x14ac:dyDescent="0.3">
      <c r="A164" s="169" t="s">
        <v>537</v>
      </c>
      <c r="B164" s="131" t="s">
        <v>159</v>
      </c>
      <c r="C164" s="136" t="s">
        <v>567</v>
      </c>
      <c r="D164" s="179"/>
      <c r="E164" s="179"/>
      <c r="F164" s="179"/>
    </row>
    <row r="165" spans="1:6" x14ac:dyDescent="0.3">
      <c r="A165" s="169" t="s">
        <v>562</v>
      </c>
      <c r="B165" s="131" t="s">
        <v>159</v>
      </c>
      <c r="C165" s="136" t="s">
        <v>568</v>
      </c>
      <c r="D165" s="179"/>
      <c r="E165" s="179"/>
      <c r="F165" s="179"/>
    </row>
    <row r="166" spans="1:6" x14ac:dyDescent="0.3">
      <c r="A166" s="169" t="s">
        <v>563</v>
      </c>
      <c r="B166" s="131" t="s">
        <v>444</v>
      </c>
      <c r="C166" s="136" t="s">
        <v>565</v>
      </c>
      <c r="D166" s="179"/>
      <c r="E166" s="179"/>
      <c r="F166" s="179"/>
    </row>
    <row r="167" spans="1:6" x14ac:dyDescent="0.3">
      <c r="A167" s="169" t="s">
        <v>564</v>
      </c>
      <c r="B167" s="131" t="s">
        <v>444</v>
      </c>
      <c r="C167" s="136" t="s">
        <v>566</v>
      </c>
      <c r="D167" s="179"/>
      <c r="E167" s="179"/>
      <c r="F167" s="179"/>
    </row>
    <row r="168" spans="1:6" x14ac:dyDescent="0.3">
      <c r="A168" s="169" t="s">
        <v>569</v>
      </c>
      <c r="B168" s="131" t="s">
        <v>525</v>
      </c>
      <c r="C168" s="136" t="s">
        <v>572</v>
      </c>
      <c r="D168" s="179"/>
      <c r="E168" s="179"/>
      <c r="F168" s="179"/>
    </row>
    <row r="169" spans="1:6" ht="28.8" x14ac:dyDescent="0.3">
      <c r="A169" s="169" t="s">
        <v>570</v>
      </c>
      <c r="B169" s="131" t="s">
        <v>444</v>
      </c>
      <c r="C169" s="136" t="s">
        <v>573</v>
      </c>
      <c r="D169" s="179"/>
      <c r="E169" s="179"/>
      <c r="F169" s="179"/>
    </row>
    <row r="170" spans="1:6" ht="28.8" x14ac:dyDescent="0.3">
      <c r="A170" s="169" t="s">
        <v>571</v>
      </c>
      <c r="B170" s="131" t="s">
        <v>444</v>
      </c>
      <c r="C170" s="136" t="s">
        <v>573</v>
      </c>
      <c r="D170" s="179"/>
      <c r="E170" s="179"/>
      <c r="F170" s="179"/>
    </row>
    <row r="171" spans="1:6" x14ac:dyDescent="0.3">
      <c r="A171" s="169" t="s">
        <v>576</v>
      </c>
      <c r="B171" s="131" t="s">
        <v>577</v>
      </c>
      <c r="C171" s="136" t="s">
        <v>574</v>
      </c>
      <c r="D171" s="179"/>
      <c r="E171" s="179"/>
      <c r="F171" s="179"/>
    </row>
    <row r="172" spans="1:6" ht="28.8" x14ac:dyDescent="0.3">
      <c r="A172" s="169" t="s">
        <v>581</v>
      </c>
      <c r="B172" s="131" t="s">
        <v>444</v>
      </c>
      <c r="C172" s="136" t="s">
        <v>582</v>
      </c>
      <c r="D172" s="179"/>
      <c r="E172" s="179"/>
      <c r="F172" s="179"/>
    </row>
    <row r="173" spans="1:6" x14ac:dyDescent="0.3">
      <c r="A173" s="169" t="s">
        <v>575</v>
      </c>
      <c r="B173" s="131" t="s">
        <v>577</v>
      </c>
      <c r="C173" s="136" t="s">
        <v>574</v>
      </c>
      <c r="D173" s="179"/>
      <c r="E173" s="179"/>
      <c r="F173" s="179"/>
    </row>
    <row r="174" spans="1:6" ht="28.8" x14ac:dyDescent="0.3">
      <c r="A174" s="169" t="s">
        <v>579</v>
      </c>
      <c r="B174" s="131" t="s">
        <v>444</v>
      </c>
      <c r="C174" s="136" t="s">
        <v>578</v>
      </c>
      <c r="D174" s="179"/>
      <c r="E174" s="179"/>
      <c r="F174" s="179"/>
    </row>
    <row r="175" spans="1:6" x14ac:dyDescent="0.3">
      <c r="A175" s="127" t="s">
        <v>538</v>
      </c>
      <c r="B175" s="130" t="s">
        <v>445</v>
      </c>
      <c r="C175" s="134" t="s">
        <v>619</v>
      </c>
      <c r="D175" s="177"/>
      <c r="E175" s="177"/>
      <c r="F175" s="177"/>
    </row>
    <row r="176" spans="1:6" ht="28.8" x14ac:dyDescent="0.3">
      <c r="A176" s="169" t="s">
        <v>543</v>
      </c>
      <c r="B176" s="131" t="s">
        <v>444</v>
      </c>
      <c r="C176" s="136" t="s">
        <v>592</v>
      </c>
      <c r="D176" s="179"/>
      <c r="E176" s="179"/>
      <c r="F176" s="179"/>
    </row>
    <row r="177" spans="1:6" x14ac:dyDescent="0.3">
      <c r="A177" s="169" t="s">
        <v>686</v>
      </c>
      <c r="B177" s="131" t="s">
        <v>444</v>
      </c>
      <c r="C177" s="136" t="s">
        <v>593</v>
      </c>
      <c r="D177" s="179"/>
      <c r="E177" s="179"/>
      <c r="F177" s="179"/>
    </row>
    <row r="178" spans="1:6" ht="57.6" x14ac:dyDescent="0.3">
      <c r="A178" s="169" t="s">
        <v>539</v>
      </c>
      <c r="B178" s="131" t="s">
        <v>614</v>
      </c>
      <c r="C178" s="136" t="s">
        <v>594</v>
      </c>
      <c r="D178" s="179"/>
      <c r="E178" s="179"/>
      <c r="F178" s="179"/>
    </row>
    <row r="179" spans="1:6" x14ac:dyDescent="0.3">
      <c r="A179" s="169" t="s">
        <v>547</v>
      </c>
      <c r="B179" s="131" t="s">
        <v>444</v>
      </c>
      <c r="C179" s="136" t="s">
        <v>595</v>
      </c>
      <c r="D179" s="179"/>
      <c r="E179" s="179"/>
      <c r="F179" s="179"/>
    </row>
    <row r="180" spans="1:6" x14ac:dyDescent="0.3">
      <c r="A180" s="169" t="s">
        <v>553</v>
      </c>
      <c r="B180" s="131" t="s">
        <v>444</v>
      </c>
      <c r="C180" s="136" t="s">
        <v>596</v>
      </c>
      <c r="D180" s="179"/>
      <c r="E180" s="179"/>
      <c r="F180" s="179"/>
    </row>
    <row r="181" spans="1:6" ht="28.8" x14ac:dyDescent="0.3">
      <c r="A181" s="169" t="s">
        <v>542</v>
      </c>
      <c r="B181" s="131" t="s">
        <v>444</v>
      </c>
      <c r="C181" s="136" t="s">
        <v>597</v>
      </c>
      <c r="D181" s="179"/>
      <c r="E181" s="179"/>
      <c r="F181" s="179"/>
    </row>
    <row r="182" spans="1:6" ht="43.2" x14ac:dyDescent="0.3">
      <c r="A182" s="169" t="s">
        <v>541</v>
      </c>
      <c r="B182" s="131" t="s">
        <v>444</v>
      </c>
      <c r="C182" s="136" t="s">
        <v>598</v>
      </c>
      <c r="D182" s="179"/>
      <c r="E182" s="179"/>
      <c r="F182" s="179"/>
    </row>
    <row r="183" spans="1:6" ht="28.8" x14ac:dyDescent="0.3">
      <c r="A183" s="169" t="s">
        <v>554</v>
      </c>
      <c r="B183" s="131" t="s">
        <v>444</v>
      </c>
      <c r="C183" s="136" t="s">
        <v>599</v>
      </c>
      <c r="D183" s="179"/>
      <c r="E183" s="179"/>
      <c r="F183" s="179"/>
    </row>
    <row r="184" spans="1:6" x14ac:dyDescent="0.3">
      <c r="A184" s="169" t="s">
        <v>544</v>
      </c>
      <c r="B184" s="131" t="s">
        <v>615</v>
      </c>
      <c r="C184" s="136" t="s">
        <v>600</v>
      </c>
      <c r="D184" s="179"/>
      <c r="E184" s="179"/>
      <c r="F184" s="179"/>
    </row>
    <row r="185" spans="1:6" ht="28.8" x14ac:dyDescent="0.3">
      <c r="A185" s="169" t="s">
        <v>545</v>
      </c>
      <c r="B185" s="131" t="s">
        <v>615</v>
      </c>
      <c r="C185" s="136" t="s">
        <v>601</v>
      </c>
      <c r="D185" s="179"/>
      <c r="E185" s="179"/>
      <c r="F185" s="179"/>
    </row>
    <row r="186" spans="1:6" x14ac:dyDescent="0.3">
      <c r="A186" s="169" t="s">
        <v>546</v>
      </c>
      <c r="B186" s="131" t="s">
        <v>615</v>
      </c>
      <c r="C186" s="136" t="s">
        <v>602</v>
      </c>
      <c r="D186" s="179"/>
      <c r="E186" s="179"/>
      <c r="F186" s="179"/>
    </row>
    <row r="187" spans="1:6" ht="201.6" x14ac:dyDescent="0.3">
      <c r="A187" s="169" t="s">
        <v>631</v>
      </c>
      <c r="B187" s="131" t="s">
        <v>444</v>
      </c>
      <c r="C187" s="136" t="s">
        <v>632</v>
      </c>
      <c r="D187" s="179"/>
      <c r="E187" s="179"/>
      <c r="F187" s="179"/>
    </row>
    <row r="188" spans="1:6" x14ac:dyDescent="0.3">
      <c r="A188" s="169" t="s">
        <v>555</v>
      </c>
      <c r="B188" s="131" t="s">
        <v>444</v>
      </c>
      <c r="C188" s="136" t="s">
        <v>603</v>
      </c>
      <c r="D188" s="179"/>
      <c r="E188" s="179"/>
      <c r="F188" s="179"/>
    </row>
    <row r="189" spans="1:6" ht="57.6" x14ac:dyDescent="0.3">
      <c r="A189" s="169" t="s">
        <v>556</v>
      </c>
      <c r="B189" s="131" t="s">
        <v>444</v>
      </c>
      <c r="C189" s="136" t="s">
        <v>604</v>
      </c>
      <c r="D189" s="179"/>
      <c r="E189" s="179"/>
      <c r="F189" s="179"/>
    </row>
    <row r="190" spans="1:6" x14ac:dyDescent="0.3">
      <c r="A190" s="169" t="s">
        <v>549</v>
      </c>
      <c r="B190" s="131" t="s">
        <v>444</v>
      </c>
      <c r="C190" s="136" t="s">
        <v>605</v>
      </c>
      <c r="D190" s="179"/>
      <c r="E190" s="179"/>
      <c r="F190" s="179"/>
    </row>
    <row r="191" spans="1:6" ht="100.8" x14ac:dyDescent="0.3">
      <c r="A191" s="169" t="s">
        <v>550</v>
      </c>
      <c r="B191" s="131" t="s">
        <v>444</v>
      </c>
      <c r="C191" s="136" t="s">
        <v>606</v>
      </c>
      <c r="D191" s="179"/>
      <c r="E191" s="179"/>
      <c r="F191" s="179"/>
    </row>
    <row r="192" spans="1:6" x14ac:dyDescent="0.3">
      <c r="A192" s="169" t="s">
        <v>548</v>
      </c>
      <c r="B192" s="131" t="s">
        <v>444</v>
      </c>
      <c r="C192" s="136" t="s">
        <v>620</v>
      </c>
      <c r="D192" s="179"/>
      <c r="E192" s="179"/>
      <c r="F192" s="179"/>
    </row>
    <row r="193" spans="1:6" ht="100.8" x14ac:dyDescent="0.3">
      <c r="A193" s="169" t="s">
        <v>591</v>
      </c>
      <c r="B193" s="131" t="s">
        <v>444</v>
      </c>
      <c r="C193" s="136" t="s">
        <v>607</v>
      </c>
      <c r="D193" s="179"/>
      <c r="E193" s="179"/>
      <c r="F193" s="179"/>
    </row>
    <row r="194" spans="1:6" x14ac:dyDescent="0.3">
      <c r="A194" s="169" t="s">
        <v>612</v>
      </c>
      <c r="B194" s="131" t="s">
        <v>444</v>
      </c>
      <c r="C194" s="136" t="s">
        <v>617</v>
      </c>
      <c r="D194" s="179"/>
      <c r="E194" s="179"/>
      <c r="F194" s="179"/>
    </row>
    <row r="195" spans="1:6" ht="28.8" x14ac:dyDescent="0.3">
      <c r="A195" s="169" t="s">
        <v>613</v>
      </c>
      <c r="B195" s="132" t="s">
        <v>616</v>
      </c>
      <c r="C195" s="136" t="s">
        <v>618</v>
      </c>
      <c r="D195" s="183"/>
      <c r="E195" s="183"/>
      <c r="F195" s="183"/>
    </row>
    <row r="196" spans="1:6" x14ac:dyDescent="0.3">
      <c r="A196" s="169" t="s">
        <v>551</v>
      </c>
      <c r="B196" s="131" t="s">
        <v>444</v>
      </c>
      <c r="C196" s="136" t="s">
        <v>608</v>
      </c>
      <c r="D196" s="179"/>
      <c r="E196" s="179"/>
      <c r="F196" s="179"/>
    </row>
    <row r="197" spans="1:6" ht="43.2" x14ac:dyDescent="0.3">
      <c r="A197" s="169" t="s">
        <v>552</v>
      </c>
      <c r="B197" s="131" t="s">
        <v>444</v>
      </c>
      <c r="C197" s="136" t="s">
        <v>609</v>
      </c>
      <c r="D197" s="179"/>
      <c r="E197" s="179"/>
      <c r="F197" s="179"/>
    </row>
    <row r="198" spans="1:6" x14ac:dyDescent="0.3">
      <c r="A198" s="169" t="s">
        <v>557</v>
      </c>
      <c r="B198" s="131" t="s">
        <v>444</v>
      </c>
      <c r="C198" s="136" t="s">
        <v>610</v>
      </c>
      <c r="D198" s="179"/>
      <c r="E198" s="179"/>
      <c r="F198" s="179"/>
    </row>
    <row r="199" spans="1:6" x14ac:dyDescent="0.3">
      <c r="A199" s="169" t="s">
        <v>558</v>
      </c>
      <c r="B199" s="131" t="s">
        <v>444</v>
      </c>
      <c r="C199" s="136" t="s">
        <v>611</v>
      </c>
      <c r="D199" s="179"/>
      <c r="E199" s="179"/>
      <c r="F199" s="179"/>
    </row>
    <row r="200" spans="1:6" ht="28.8" x14ac:dyDescent="0.3">
      <c r="A200" s="127" t="s">
        <v>626</v>
      </c>
      <c r="B200" s="130" t="s">
        <v>158</v>
      </c>
      <c r="C200" s="134" t="s">
        <v>444</v>
      </c>
      <c r="D200" s="179"/>
      <c r="E200" s="179"/>
      <c r="F200" s="179"/>
    </row>
    <row r="201" spans="1:6" x14ac:dyDescent="0.3">
      <c r="A201" s="169" t="s">
        <v>624</v>
      </c>
      <c r="B201" s="131" t="s">
        <v>444</v>
      </c>
      <c r="C201" s="136" t="s">
        <v>627</v>
      </c>
      <c r="D201" s="179"/>
      <c r="E201" s="179"/>
      <c r="F201" s="179"/>
    </row>
    <row r="202" spans="1:6" x14ac:dyDescent="0.3">
      <c r="A202" s="169" t="s">
        <v>625</v>
      </c>
      <c r="B202" s="131" t="s">
        <v>444</v>
      </c>
      <c r="C202" s="136" t="s">
        <v>628</v>
      </c>
      <c r="D202" s="179"/>
      <c r="E202" s="179"/>
      <c r="F202" s="179"/>
    </row>
    <row r="203" spans="1:6" x14ac:dyDescent="0.3">
      <c r="A203" s="127" t="s">
        <v>633</v>
      </c>
      <c r="B203" s="130" t="s">
        <v>445</v>
      </c>
      <c r="C203" s="134" t="s">
        <v>634</v>
      </c>
      <c r="D203" s="179"/>
      <c r="E203" s="179"/>
      <c r="F203" s="179"/>
    </row>
    <row r="204" spans="1:6" ht="129.6" x14ac:dyDescent="0.3">
      <c r="A204" s="169" t="s">
        <v>635</v>
      </c>
      <c r="B204" s="131" t="s">
        <v>444</v>
      </c>
      <c r="C204" s="136" t="s">
        <v>658</v>
      </c>
      <c r="D204" s="179"/>
      <c r="E204" s="179"/>
      <c r="F204" s="179"/>
    </row>
    <row r="205" spans="1:6" ht="28.8" x14ac:dyDescent="0.3">
      <c r="A205" s="175" t="s">
        <v>636</v>
      </c>
      <c r="B205" s="131" t="s">
        <v>444</v>
      </c>
      <c r="C205" s="136" t="s">
        <v>659</v>
      </c>
      <c r="D205" s="179"/>
      <c r="E205" s="179"/>
      <c r="F205" s="179"/>
    </row>
    <row r="206" spans="1:6" ht="43.2" x14ac:dyDescent="0.3">
      <c r="A206" s="175" t="s">
        <v>637</v>
      </c>
      <c r="B206" s="131" t="s">
        <v>444</v>
      </c>
      <c r="C206" s="136" t="s">
        <v>660</v>
      </c>
      <c r="D206" s="179"/>
      <c r="E206" s="179"/>
      <c r="F206" s="179"/>
    </row>
    <row r="207" spans="1:6" ht="43.2" x14ac:dyDescent="0.3">
      <c r="A207" s="175" t="s">
        <v>638</v>
      </c>
      <c r="B207" s="131" t="s">
        <v>444</v>
      </c>
      <c r="C207" s="136" t="s">
        <v>661</v>
      </c>
      <c r="D207" s="179"/>
      <c r="E207" s="179"/>
      <c r="F207" s="179"/>
    </row>
    <row r="208" spans="1:6" ht="57.6" x14ac:dyDescent="0.3">
      <c r="A208" s="175" t="s">
        <v>639</v>
      </c>
      <c r="B208" s="131" t="s">
        <v>444</v>
      </c>
      <c r="C208" s="136" t="s">
        <v>662</v>
      </c>
      <c r="D208" s="179"/>
      <c r="E208" s="179"/>
      <c r="F208" s="179"/>
    </row>
    <row r="209" spans="1:6" ht="43.2" x14ac:dyDescent="0.3">
      <c r="A209" s="175" t="s">
        <v>640</v>
      </c>
      <c r="B209" s="131" t="s">
        <v>444</v>
      </c>
      <c r="C209" s="136" t="s">
        <v>663</v>
      </c>
      <c r="D209" s="179"/>
      <c r="E209" s="179"/>
      <c r="F209" s="179"/>
    </row>
    <row r="210" spans="1:6" ht="43.2" x14ac:dyDescent="0.3">
      <c r="A210" s="175" t="s">
        <v>641</v>
      </c>
      <c r="B210" s="131" t="s">
        <v>444</v>
      </c>
      <c r="C210" s="136" t="s">
        <v>664</v>
      </c>
      <c r="D210" s="179"/>
      <c r="E210" s="179"/>
      <c r="F210" s="179"/>
    </row>
    <row r="211" spans="1:6" ht="43.2" x14ac:dyDescent="0.3">
      <c r="A211" s="175" t="s">
        <v>642</v>
      </c>
      <c r="B211" s="131" t="s">
        <v>444</v>
      </c>
      <c r="C211" s="136" t="s">
        <v>665</v>
      </c>
      <c r="D211" s="179"/>
      <c r="E211" s="179"/>
      <c r="F211" s="179"/>
    </row>
    <row r="212" spans="1:6" ht="72" x14ac:dyDescent="0.3">
      <c r="A212" s="175" t="s">
        <v>643</v>
      </c>
      <c r="B212" s="131" t="s">
        <v>444</v>
      </c>
      <c r="C212" s="136" t="s">
        <v>666</v>
      </c>
      <c r="D212" s="179"/>
      <c r="E212" s="179"/>
      <c r="F212" s="179"/>
    </row>
    <row r="213" spans="1:6" ht="100.8" x14ac:dyDescent="0.3">
      <c r="A213" s="175" t="s">
        <v>668</v>
      </c>
      <c r="B213" s="131" t="s">
        <v>444</v>
      </c>
      <c r="C213" s="136" t="s">
        <v>667</v>
      </c>
      <c r="D213" s="179"/>
      <c r="E213" s="179"/>
      <c r="F213" s="179"/>
    </row>
    <row r="214" spans="1:6" x14ac:dyDescent="0.3">
      <c r="A214" s="175" t="s">
        <v>644</v>
      </c>
      <c r="B214" s="131" t="s">
        <v>444</v>
      </c>
      <c r="C214" s="136" t="s">
        <v>605</v>
      </c>
      <c r="D214" s="179"/>
      <c r="E214" s="179"/>
      <c r="F214" s="179"/>
    </row>
    <row r="215" spans="1:6" ht="57.6" x14ac:dyDescent="0.3">
      <c r="A215" s="175" t="s">
        <v>673</v>
      </c>
      <c r="B215" s="131" t="s">
        <v>444</v>
      </c>
      <c r="C215" s="136" t="s">
        <v>672</v>
      </c>
      <c r="D215" s="179"/>
      <c r="E215" s="179"/>
      <c r="F215" s="179"/>
    </row>
    <row r="216" spans="1:6" ht="28.8" x14ac:dyDescent="0.3">
      <c r="A216" s="175" t="s">
        <v>645</v>
      </c>
      <c r="B216" s="131" t="s">
        <v>444</v>
      </c>
      <c r="C216" s="136" t="s">
        <v>669</v>
      </c>
      <c r="D216" s="179"/>
      <c r="E216" s="179"/>
      <c r="F216" s="179"/>
    </row>
    <row r="217" spans="1:6" ht="28.8" x14ac:dyDescent="0.3">
      <c r="A217" s="175" t="s">
        <v>646</v>
      </c>
      <c r="B217" s="131" t="s">
        <v>444</v>
      </c>
      <c r="C217" s="136" t="s">
        <v>670</v>
      </c>
      <c r="D217" s="179"/>
      <c r="E217" s="179"/>
      <c r="F217" s="179"/>
    </row>
    <row r="218" spans="1:6" ht="28.8" x14ac:dyDescent="0.3">
      <c r="A218" s="175" t="s">
        <v>647</v>
      </c>
      <c r="B218" s="131" t="s">
        <v>444</v>
      </c>
      <c r="C218" s="136" t="s">
        <v>671</v>
      </c>
      <c r="D218" s="179"/>
      <c r="E218" s="179"/>
      <c r="F218" s="179"/>
    </row>
    <row r="219" spans="1:6" ht="72" x14ac:dyDescent="0.3">
      <c r="A219" s="175" t="s">
        <v>648</v>
      </c>
      <c r="B219" s="131" t="s">
        <v>444</v>
      </c>
      <c r="C219" s="136" t="s">
        <v>674</v>
      </c>
      <c r="D219" s="179"/>
      <c r="E219" s="179"/>
      <c r="F219" s="179"/>
    </row>
    <row r="220" spans="1:6" x14ac:dyDescent="0.3">
      <c r="A220" s="175" t="s">
        <v>649</v>
      </c>
      <c r="B220" s="131" t="s">
        <v>444</v>
      </c>
      <c r="C220" s="136" t="s">
        <v>675</v>
      </c>
      <c r="D220" s="179"/>
      <c r="E220" s="179"/>
      <c r="F220" s="179"/>
    </row>
    <row r="221" spans="1:6" ht="28.8" x14ac:dyDescent="0.3">
      <c r="A221" s="175" t="s">
        <v>650</v>
      </c>
      <c r="B221" s="131" t="s">
        <v>444</v>
      </c>
      <c r="C221" s="136" t="s">
        <v>676</v>
      </c>
      <c r="D221" s="179"/>
      <c r="E221" s="179"/>
      <c r="F221" s="179"/>
    </row>
    <row r="222" spans="1:6" ht="115.2" x14ac:dyDescent="0.3">
      <c r="A222" s="175" t="s">
        <v>651</v>
      </c>
      <c r="B222" s="131" t="s">
        <v>444</v>
      </c>
      <c r="C222" s="136" t="s">
        <v>677</v>
      </c>
      <c r="D222" s="179"/>
      <c r="E222" s="179"/>
      <c r="F222" s="179"/>
    </row>
    <row r="223" spans="1:6" ht="43.2" x14ac:dyDescent="0.3">
      <c r="A223" s="175" t="s">
        <v>652</v>
      </c>
      <c r="B223" s="131" t="s">
        <v>444</v>
      </c>
      <c r="C223" s="136" t="s">
        <v>678</v>
      </c>
      <c r="D223" s="179"/>
      <c r="E223" s="179"/>
      <c r="F223" s="179"/>
    </row>
    <row r="224" spans="1:6" ht="86.4" x14ac:dyDescent="0.3">
      <c r="A224" s="175" t="s">
        <v>653</v>
      </c>
      <c r="B224" s="131" t="s">
        <v>444</v>
      </c>
      <c r="C224" s="136" t="s">
        <v>679</v>
      </c>
      <c r="D224" s="179"/>
      <c r="E224" s="179"/>
      <c r="F224" s="179"/>
    </row>
    <row r="225" spans="1:6" ht="28.8" x14ac:dyDescent="0.3">
      <c r="A225" s="175" t="s">
        <v>654</v>
      </c>
      <c r="B225" s="131" t="s">
        <v>444</v>
      </c>
      <c r="C225" s="136" t="s">
        <v>680</v>
      </c>
      <c r="D225" s="179"/>
      <c r="E225" s="179"/>
      <c r="F225" s="179"/>
    </row>
  </sheetData>
  <sheetProtection algorithmName="SHA-512" hashValue="jZvHdtUnHEJrywu05BA34Bu3oFGSsAD2kYwt5a4KhqljHcOZ0TYms6RkD7/wQjKpJ0gKYlcs+uVwqpsgYD6kRQ==" saltValue="xhCyy3isxkwzyK6Q4pOLDg==" spinCount="100000" sheet="1" objects="1" scenarios="1" formatCells="0" formatColumns="0" formatRows="0"/>
  <mergeCells count="3">
    <mergeCell ref="B77:B83"/>
    <mergeCell ref="B4:B9"/>
    <mergeCell ref="B11:B20"/>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6"/>
  <sheetViews>
    <sheetView workbookViewId="0">
      <selection activeCell="E3" sqref="E3"/>
    </sheetView>
  </sheetViews>
  <sheetFormatPr defaultRowHeight="14.4" x14ac:dyDescent="0.3"/>
  <cols>
    <col min="3" max="3" width="65" bestFit="1" customWidth="1"/>
  </cols>
  <sheetData>
    <row r="1" spans="1:6" x14ac:dyDescent="0.3">
      <c r="A1" t="str">
        <f>IF(B4="","'data'!W7","'saves'!B3:B"&amp;TEXT(COUNTA(B:B)+2,"0"))</f>
        <v>'saves'!B3:B6</v>
      </c>
      <c r="C1">
        <f>COUNTA(B:B)+3</f>
        <v>7</v>
      </c>
      <c r="D1" t="str">
        <f>IF(E4="","'data'!W7","'saves'!E3:E"&amp;TEXT(COUNTA(E:E)+2,"0"))</f>
        <v>'data'!W7</v>
      </c>
      <c r="F1">
        <f>COUNTA(E:E)+3</f>
        <v>4</v>
      </c>
    </row>
    <row r="2" spans="1:6" x14ac:dyDescent="0.3">
      <c r="A2" t="s">
        <v>352</v>
      </c>
      <c r="C2" t="s">
        <v>422</v>
      </c>
      <c r="D2" t="s">
        <v>353</v>
      </c>
      <c r="F2" t="s">
        <v>422</v>
      </c>
    </row>
    <row r="3" spans="1:6" x14ac:dyDescent="0.3">
      <c r="A3">
        <v>0</v>
      </c>
      <c r="B3" t="str">
        <f>INDEX(lang!140:140,1,LNG)</f>
        <v>choose...</v>
      </c>
      <c r="D3">
        <v>0</v>
      </c>
      <c r="E3" t="str">
        <f>INDEX(lang!140:140,1,LNG)</f>
        <v>choose...</v>
      </c>
    </row>
    <row r="4" spans="1:6" x14ac:dyDescent="0.3">
      <c r="A4">
        <v>1</v>
      </c>
      <c r="B4" t="s">
        <v>584</v>
      </c>
      <c r="C4" t="s">
        <v>586</v>
      </c>
      <c r="D4">
        <v>1</v>
      </c>
    </row>
    <row r="5" spans="1:6" x14ac:dyDescent="0.3">
      <c r="A5">
        <v>2</v>
      </c>
      <c r="B5" t="s">
        <v>587</v>
      </c>
      <c r="C5" t="s">
        <v>588</v>
      </c>
      <c r="D5">
        <v>2</v>
      </c>
    </row>
    <row r="6" spans="1:6" x14ac:dyDescent="0.3">
      <c r="A6">
        <v>3</v>
      </c>
      <c r="B6" t="s">
        <v>589</v>
      </c>
      <c r="C6" t="s">
        <v>590</v>
      </c>
      <c r="D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150"/>
  <sheetViews>
    <sheetView topLeftCell="F43" workbookViewId="0">
      <selection activeCell="V83" sqref="V83"/>
    </sheetView>
  </sheetViews>
  <sheetFormatPr defaultRowHeight="14.4" outlineLevelRow="1" x14ac:dyDescent="0.3"/>
  <cols>
    <col min="1" max="1" width="8.33203125" customWidth="1"/>
    <col min="20" max="20" width="12.44140625" customWidth="1"/>
    <col min="23" max="23" width="34.77734375" customWidth="1"/>
  </cols>
  <sheetData>
    <row r="1" spans="1:14" ht="21" outlineLevel="1" x14ac:dyDescent="0.4">
      <c r="A1" s="201" t="s">
        <v>277</v>
      </c>
      <c r="B1" s="201"/>
      <c r="C1" s="201"/>
      <c r="D1" s="201"/>
      <c r="E1" s="201"/>
      <c r="F1" s="201"/>
      <c r="H1" s="201" t="s">
        <v>278</v>
      </c>
      <c r="I1" s="201"/>
      <c r="J1" s="201"/>
      <c r="K1" s="201"/>
      <c r="L1" s="201"/>
      <c r="M1" s="201"/>
      <c r="N1" s="201"/>
    </row>
    <row r="2" spans="1:14" outlineLevel="1" x14ac:dyDescent="0.3">
      <c r="A2" t="s">
        <v>241</v>
      </c>
      <c r="B2" t="s">
        <v>242</v>
      </c>
      <c r="D2" t="s">
        <v>243</v>
      </c>
      <c r="F2" t="s">
        <v>254</v>
      </c>
      <c r="H2" t="s">
        <v>241</v>
      </c>
      <c r="J2" t="s">
        <v>242</v>
      </c>
      <c r="L2" t="s">
        <v>243</v>
      </c>
    </row>
    <row r="3" spans="1:14" outlineLevel="1" x14ac:dyDescent="0.3">
      <c r="A3" s="64">
        <v>1</v>
      </c>
      <c r="B3" s="64" t="s">
        <v>260</v>
      </c>
      <c r="C3" s="64">
        <v>1</v>
      </c>
      <c r="D3" s="64" t="s">
        <v>244</v>
      </c>
      <c r="E3" s="64"/>
      <c r="F3" s="204" t="s">
        <v>255</v>
      </c>
      <c r="H3" s="64">
        <v>1</v>
      </c>
      <c r="I3" s="64"/>
      <c r="J3" s="162" t="s">
        <v>622</v>
      </c>
      <c r="K3" s="101">
        <v>2</v>
      </c>
      <c r="L3" s="101" t="s">
        <v>279</v>
      </c>
      <c r="M3" s="101"/>
      <c r="N3" s="101" t="s">
        <v>623</v>
      </c>
    </row>
    <row r="4" spans="1:14" outlineLevel="1" x14ac:dyDescent="0.3">
      <c r="A4" s="64">
        <f t="shared" ref="A4:A35" si="0">A3+1</f>
        <v>2</v>
      </c>
      <c r="B4" s="64" t="s">
        <v>260</v>
      </c>
      <c r="C4" s="64">
        <v>1</v>
      </c>
      <c r="D4" s="64" t="s">
        <v>245</v>
      </c>
      <c r="E4" s="64"/>
      <c r="F4" s="204"/>
      <c r="H4" s="64">
        <v>2</v>
      </c>
      <c r="I4" s="64"/>
      <c r="J4" s="66" t="s">
        <v>261</v>
      </c>
      <c r="K4" s="64">
        <v>1</v>
      </c>
      <c r="L4" s="64" t="s">
        <v>280</v>
      </c>
      <c r="M4" s="64"/>
      <c r="N4" s="64"/>
    </row>
    <row r="5" spans="1:14" outlineLevel="1" x14ac:dyDescent="0.3">
      <c r="A5" s="64">
        <f t="shared" si="0"/>
        <v>3</v>
      </c>
      <c r="B5" s="64" t="s">
        <v>260</v>
      </c>
      <c r="C5" s="64">
        <v>1</v>
      </c>
      <c r="D5" s="64" t="s">
        <v>246</v>
      </c>
      <c r="E5" s="64"/>
      <c r="F5" s="204"/>
      <c r="H5" s="64">
        <v>3</v>
      </c>
      <c r="I5" s="64"/>
      <c r="J5" s="66" t="s">
        <v>261</v>
      </c>
      <c r="K5" s="64">
        <v>1</v>
      </c>
      <c r="L5" s="64" t="s">
        <v>281</v>
      </c>
      <c r="M5" s="64"/>
      <c r="N5" s="64"/>
    </row>
    <row r="6" spans="1:14" outlineLevel="1" x14ac:dyDescent="0.3">
      <c r="A6" s="64">
        <f t="shared" si="0"/>
        <v>4</v>
      </c>
      <c r="B6" s="64" t="s">
        <v>260</v>
      </c>
      <c r="C6" s="64">
        <v>1</v>
      </c>
      <c r="D6" s="64" t="s">
        <v>247</v>
      </c>
      <c r="E6" s="64"/>
      <c r="F6" s="204"/>
      <c r="H6" s="64">
        <v>4</v>
      </c>
      <c r="I6" s="64"/>
      <c r="J6" s="66" t="s">
        <v>282</v>
      </c>
      <c r="K6" s="64">
        <v>2</v>
      </c>
      <c r="L6" s="64" t="s">
        <v>283</v>
      </c>
      <c r="M6" s="64"/>
      <c r="N6" s="64" t="s">
        <v>348</v>
      </c>
    </row>
    <row r="7" spans="1:14" outlineLevel="1" x14ac:dyDescent="0.3">
      <c r="A7" s="64">
        <f t="shared" si="0"/>
        <v>5</v>
      </c>
      <c r="B7" s="64" t="s">
        <v>260</v>
      </c>
      <c r="C7" s="64">
        <v>1</v>
      </c>
      <c r="D7" s="64" t="s">
        <v>248</v>
      </c>
      <c r="E7" s="64"/>
      <c r="F7" s="204"/>
      <c r="H7" s="64">
        <v>5</v>
      </c>
      <c r="I7" s="64"/>
      <c r="J7" s="66" t="s">
        <v>282</v>
      </c>
      <c r="K7" s="64">
        <v>2</v>
      </c>
      <c r="L7" s="64" t="s">
        <v>284</v>
      </c>
      <c r="M7" s="64"/>
      <c r="N7" s="64"/>
    </row>
    <row r="8" spans="1:14" outlineLevel="1" x14ac:dyDescent="0.3">
      <c r="A8" s="64">
        <f t="shared" si="0"/>
        <v>6</v>
      </c>
      <c r="B8" s="64" t="s">
        <v>261</v>
      </c>
      <c r="C8" s="64">
        <v>1</v>
      </c>
      <c r="D8" s="64" t="s">
        <v>249</v>
      </c>
      <c r="E8" s="64"/>
      <c r="F8" s="204"/>
      <c r="H8" s="64">
        <v>6</v>
      </c>
      <c r="I8" s="64"/>
      <c r="J8" s="66" t="s">
        <v>282</v>
      </c>
      <c r="K8" s="64">
        <v>2</v>
      </c>
      <c r="L8" s="64" t="s">
        <v>285</v>
      </c>
      <c r="M8" s="64"/>
      <c r="N8" s="64"/>
    </row>
    <row r="9" spans="1:14" outlineLevel="1" x14ac:dyDescent="0.3">
      <c r="A9" s="64">
        <f t="shared" si="0"/>
        <v>7</v>
      </c>
      <c r="B9" s="64" t="s">
        <v>261</v>
      </c>
      <c r="C9" s="64">
        <v>1</v>
      </c>
      <c r="D9" s="64" t="s">
        <v>250</v>
      </c>
      <c r="E9" s="64"/>
      <c r="F9" s="204"/>
      <c r="H9" s="66" t="s">
        <v>286</v>
      </c>
      <c r="I9" s="66"/>
      <c r="J9" s="64" t="s">
        <v>287</v>
      </c>
      <c r="K9" s="64">
        <f>SUM(K3:K8)*3</f>
        <v>30</v>
      </c>
      <c r="L9" s="64" t="s">
        <v>288</v>
      </c>
      <c r="M9" s="64"/>
      <c r="N9" s="64"/>
    </row>
    <row r="10" spans="1:14" outlineLevel="1" x14ac:dyDescent="0.3">
      <c r="A10" s="64">
        <f t="shared" si="0"/>
        <v>8</v>
      </c>
      <c r="B10" s="64" t="s">
        <v>261</v>
      </c>
      <c r="C10" s="64">
        <v>1</v>
      </c>
      <c r="D10" s="64" t="s">
        <v>251</v>
      </c>
      <c r="E10" s="64"/>
      <c r="F10" s="204"/>
      <c r="H10">
        <v>25</v>
      </c>
      <c r="J10" s="53" t="s">
        <v>289</v>
      </c>
      <c r="K10">
        <v>2</v>
      </c>
      <c r="L10" t="s">
        <v>290</v>
      </c>
    </row>
    <row r="11" spans="1:14" outlineLevel="1" x14ac:dyDescent="0.3">
      <c r="A11" s="64">
        <f t="shared" si="0"/>
        <v>9</v>
      </c>
      <c r="B11" s="64" t="s">
        <v>261</v>
      </c>
      <c r="C11" s="64">
        <v>1</v>
      </c>
      <c r="D11" s="64" t="s">
        <v>252</v>
      </c>
      <c r="E11" s="64"/>
      <c r="F11" s="204"/>
      <c r="H11">
        <v>26</v>
      </c>
      <c r="J11" s="53" t="s">
        <v>289</v>
      </c>
      <c r="K11">
        <v>2</v>
      </c>
      <c r="L11" t="s">
        <v>291</v>
      </c>
    </row>
    <row r="12" spans="1:14" outlineLevel="1" x14ac:dyDescent="0.3">
      <c r="A12" s="64">
        <f t="shared" si="0"/>
        <v>10</v>
      </c>
      <c r="B12" s="64" t="s">
        <v>261</v>
      </c>
      <c r="C12" s="64">
        <v>1</v>
      </c>
      <c r="D12" s="64" t="s">
        <v>253</v>
      </c>
      <c r="E12" s="64"/>
      <c r="F12" s="204"/>
      <c r="H12">
        <v>27</v>
      </c>
      <c r="J12" s="53" t="s">
        <v>289</v>
      </c>
      <c r="K12">
        <v>2</v>
      </c>
      <c r="L12" t="s">
        <v>292</v>
      </c>
    </row>
    <row r="13" spans="1:14" outlineLevel="1" x14ac:dyDescent="0.3">
      <c r="A13" s="64">
        <f t="shared" si="0"/>
        <v>11</v>
      </c>
      <c r="B13" s="64" t="s">
        <v>262</v>
      </c>
      <c r="C13" s="122">
        <v>2</v>
      </c>
      <c r="D13" s="64" t="s">
        <v>256</v>
      </c>
      <c r="E13" s="64"/>
      <c r="F13" s="204"/>
      <c r="H13" s="64">
        <v>28</v>
      </c>
      <c r="I13" s="64"/>
      <c r="J13" s="64" t="s">
        <v>270</v>
      </c>
      <c r="K13" s="64">
        <v>1</v>
      </c>
      <c r="L13" s="64" t="s">
        <v>293</v>
      </c>
      <c r="M13" s="64"/>
      <c r="N13" s="64" t="s">
        <v>349</v>
      </c>
    </row>
    <row r="14" spans="1:14" outlineLevel="1" x14ac:dyDescent="0.3">
      <c r="A14" s="64">
        <f t="shared" si="0"/>
        <v>12</v>
      </c>
      <c r="B14" s="64" t="s">
        <v>262</v>
      </c>
      <c r="C14" s="122">
        <v>2</v>
      </c>
      <c r="D14" s="64" t="s">
        <v>257</v>
      </c>
      <c r="E14" s="64"/>
      <c r="F14" s="204"/>
      <c r="H14" s="64" t="s">
        <v>294</v>
      </c>
      <c r="I14" s="64"/>
      <c r="J14" s="64" t="s">
        <v>287</v>
      </c>
      <c r="K14" s="64">
        <v>3</v>
      </c>
      <c r="L14" s="64" t="s">
        <v>295</v>
      </c>
      <c r="M14" s="64"/>
      <c r="N14" s="64"/>
    </row>
    <row r="15" spans="1:14" outlineLevel="1" x14ac:dyDescent="0.3">
      <c r="A15" s="64">
        <f t="shared" si="0"/>
        <v>13</v>
      </c>
      <c r="B15" s="64" t="s">
        <v>262</v>
      </c>
      <c r="C15" s="122">
        <v>2</v>
      </c>
      <c r="D15" s="64" t="s">
        <v>258</v>
      </c>
      <c r="E15" s="64"/>
      <c r="F15" s="204"/>
      <c r="H15">
        <v>32</v>
      </c>
      <c r="J15" s="18" t="s">
        <v>629</v>
      </c>
      <c r="K15" s="18">
        <v>1</v>
      </c>
      <c r="L15" s="18" t="s">
        <v>296</v>
      </c>
      <c r="M15" s="18"/>
      <c r="N15" s="18" t="s">
        <v>630</v>
      </c>
    </row>
    <row r="16" spans="1:14" outlineLevel="1" x14ac:dyDescent="0.3">
      <c r="A16" s="64">
        <f t="shared" si="0"/>
        <v>14</v>
      </c>
      <c r="B16" s="64" t="s">
        <v>262</v>
      </c>
      <c r="C16" s="122">
        <v>2</v>
      </c>
      <c r="D16" s="64" t="s">
        <v>259</v>
      </c>
      <c r="E16" s="64"/>
      <c r="F16" s="204"/>
      <c r="H16" s="64">
        <v>33</v>
      </c>
      <c r="I16" s="64"/>
      <c r="J16" s="64" t="s">
        <v>315</v>
      </c>
      <c r="K16" s="64">
        <v>3</v>
      </c>
      <c r="L16" s="64" t="s">
        <v>316</v>
      </c>
      <c r="M16" s="64"/>
      <c r="N16" s="64"/>
    </row>
    <row r="17" spans="1:14" outlineLevel="1" x14ac:dyDescent="0.3">
      <c r="A17" s="64">
        <f t="shared" si="0"/>
        <v>15</v>
      </c>
      <c r="B17" s="64" t="s">
        <v>261</v>
      </c>
      <c r="C17" s="64">
        <v>1</v>
      </c>
      <c r="D17" s="64" t="s">
        <v>263</v>
      </c>
      <c r="E17" s="64"/>
      <c r="F17" s="204"/>
      <c r="H17" s="64">
        <v>34</v>
      </c>
      <c r="I17" s="64"/>
      <c r="J17" s="64" t="s">
        <v>315</v>
      </c>
      <c r="K17" s="64">
        <v>3</v>
      </c>
      <c r="L17" s="64" t="s">
        <v>317</v>
      </c>
      <c r="M17" s="64"/>
      <c r="N17" s="64"/>
    </row>
    <row r="18" spans="1:14" outlineLevel="1" x14ac:dyDescent="0.3">
      <c r="A18" s="27">
        <f t="shared" si="0"/>
        <v>16</v>
      </c>
      <c r="B18" s="27" t="s">
        <v>261</v>
      </c>
      <c r="C18" s="27">
        <v>1</v>
      </c>
      <c r="D18" s="27" t="s">
        <v>264</v>
      </c>
      <c r="E18" s="27"/>
      <c r="F18" s="203" t="s">
        <v>267</v>
      </c>
      <c r="G18" s="27"/>
      <c r="H18" s="64">
        <v>35</v>
      </c>
      <c r="I18" s="64"/>
      <c r="J18" s="64" t="s">
        <v>318</v>
      </c>
      <c r="K18" s="64">
        <v>2</v>
      </c>
      <c r="L18" s="64" t="s">
        <v>319</v>
      </c>
      <c r="M18" s="64"/>
      <c r="N18" s="64" t="s">
        <v>347</v>
      </c>
    </row>
    <row r="19" spans="1:14" outlineLevel="1" x14ac:dyDescent="0.3">
      <c r="A19" s="27">
        <f t="shared" si="0"/>
        <v>17</v>
      </c>
      <c r="B19" s="27" t="s">
        <v>265</v>
      </c>
      <c r="C19" s="27">
        <v>1</v>
      </c>
      <c r="D19" s="27" t="s">
        <v>244</v>
      </c>
      <c r="E19" s="27"/>
      <c r="F19" s="203"/>
      <c r="G19" s="27"/>
      <c r="H19" s="64">
        <v>36</v>
      </c>
      <c r="I19" s="64"/>
      <c r="J19" s="64" t="s">
        <v>320</v>
      </c>
      <c r="K19" s="64">
        <v>5</v>
      </c>
      <c r="L19" s="64" t="s">
        <v>307</v>
      </c>
      <c r="M19" s="64"/>
      <c r="N19" s="64"/>
    </row>
    <row r="20" spans="1:14" outlineLevel="1" x14ac:dyDescent="0.3">
      <c r="A20" s="27">
        <f t="shared" si="0"/>
        <v>18</v>
      </c>
      <c r="B20" s="27" t="s">
        <v>265</v>
      </c>
      <c r="C20" s="27">
        <v>1</v>
      </c>
      <c r="D20" s="27" t="s">
        <v>245</v>
      </c>
      <c r="E20" s="27"/>
      <c r="F20" s="203"/>
      <c r="G20" s="27"/>
      <c r="H20" s="27"/>
      <c r="I20" s="27"/>
      <c r="J20" s="27"/>
      <c r="K20" s="27"/>
    </row>
    <row r="21" spans="1:14" outlineLevel="1" x14ac:dyDescent="0.3">
      <c r="A21" s="27">
        <f t="shared" si="0"/>
        <v>19</v>
      </c>
      <c r="B21" s="27" t="s">
        <v>265</v>
      </c>
      <c r="C21" s="27">
        <v>1</v>
      </c>
      <c r="D21" s="27" t="s">
        <v>247</v>
      </c>
      <c r="E21" s="27"/>
      <c r="F21" s="203"/>
      <c r="G21" s="27"/>
      <c r="I21" s="27"/>
      <c r="J21" s="27"/>
      <c r="K21" s="27"/>
    </row>
    <row r="22" spans="1:14" outlineLevel="1" x14ac:dyDescent="0.3">
      <c r="A22" s="27">
        <f t="shared" si="0"/>
        <v>20</v>
      </c>
      <c r="B22" s="27" t="s">
        <v>265</v>
      </c>
      <c r="C22" s="27">
        <v>1</v>
      </c>
      <c r="D22" s="27" t="s">
        <v>248</v>
      </c>
      <c r="E22" s="27"/>
      <c r="F22" s="203"/>
      <c r="G22" s="27"/>
      <c r="I22" s="27"/>
      <c r="J22" s="27"/>
      <c r="K22" s="27"/>
    </row>
    <row r="23" spans="1:14" outlineLevel="1" x14ac:dyDescent="0.3">
      <c r="A23" s="27">
        <f t="shared" si="0"/>
        <v>21</v>
      </c>
      <c r="B23" s="27" t="s">
        <v>261</v>
      </c>
      <c r="C23" s="27">
        <v>1</v>
      </c>
      <c r="D23" s="27" t="s">
        <v>249</v>
      </c>
      <c r="E23" s="27"/>
      <c r="F23" s="203"/>
      <c r="G23" s="27"/>
      <c r="I23" s="27"/>
      <c r="J23" s="27"/>
      <c r="K23" s="27"/>
    </row>
    <row r="24" spans="1:14" outlineLevel="1" x14ac:dyDescent="0.3">
      <c r="A24" s="27">
        <f t="shared" si="0"/>
        <v>22</v>
      </c>
      <c r="B24" s="27" t="s">
        <v>261</v>
      </c>
      <c r="C24" s="27">
        <v>1</v>
      </c>
      <c r="D24" s="27" t="s">
        <v>250</v>
      </c>
      <c r="E24" s="27"/>
      <c r="F24" s="203"/>
      <c r="G24" s="27"/>
      <c r="I24" s="27"/>
      <c r="J24" s="27"/>
      <c r="K24" s="27"/>
    </row>
    <row r="25" spans="1:14" outlineLevel="1" x14ac:dyDescent="0.3">
      <c r="A25" s="27">
        <f t="shared" si="0"/>
        <v>23</v>
      </c>
      <c r="B25" s="27" t="s">
        <v>261</v>
      </c>
      <c r="C25" s="27">
        <v>1</v>
      </c>
      <c r="D25" s="27" t="s">
        <v>252</v>
      </c>
      <c r="E25" s="27"/>
      <c r="F25" s="203"/>
      <c r="G25" s="27"/>
      <c r="H25" s="27"/>
      <c r="I25" s="27"/>
      <c r="J25" s="27"/>
      <c r="K25" s="27"/>
    </row>
    <row r="26" spans="1:14" outlineLevel="1" x14ac:dyDescent="0.3">
      <c r="A26" s="27">
        <f t="shared" si="0"/>
        <v>24</v>
      </c>
      <c r="B26" s="27" t="s">
        <v>261</v>
      </c>
      <c r="C26" s="27">
        <v>1</v>
      </c>
      <c r="D26" s="27" t="s">
        <v>253</v>
      </c>
      <c r="E26" s="27"/>
      <c r="F26" s="203"/>
      <c r="G26" s="27"/>
      <c r="H26" s="27"/>
      <c r="I26" s="27"/>
      <c r="J26" s="27"/>
      <c r="K26" s="27"/>
    </row>
    <row r="27" spans="1:14" outlineLevel="1" x14ac:dyDescent="0.3">
      <c r="A27" s="27">
        <f t="shared" si="0"/>
        <v>25</v>
      </c>
      <c r="B27" s="27" t="s">
        <v>266</v>
      </c>
      <c r="C27" s="121">
        <v>2</v>
      </c>
      <c r="D27" s="27" t="s">
        <v>256</v>
      </c>
      <c r="E27" s="27"/>
      <c r="F27" s="203"/>
      <c r="G27" s="27"/>
      <c r="H27" s="27"/>
      <c r="I27" s="27"/>
      <c r="J27" s="27"/>
      <c r="K27" s="27"/>
    </row>
    <row r="28" spans="1:14" outlineLevel="1" x14ac:dyDescent="0.3">
      <c r="A28" s="27">
        <f t="shared" si="0"/>
        <v>26</v>
      </c>
      <c r="B28" s="27" t="s">
        <v>266</v>
      </c>
      <c r="C28" s="121">
        <v>2</v>
      </c>
      <c r="D28" s="27" t="s">
        <v>257</v>
      </c>
      <c r="E28" s="27"/>
      <c r="F28" s="203"/>
      <c r="G28" s="27"/>
      <c r="H28" s="27"/>
      <c r="I28" s="27"/>
      <c r="J28" s="27"/>
      <c r="K28" s="27"/>
    </row>
    <row r="29" spans="1:14" outlineLevel="1" x14ac:dyDescent="0.3">
      <c r="A29" s="27">
        <f t="shared" si="0"/>
        <v>27</v>
      </c>
      <c r="B29" s="27" t="s">
        <v>266</v>
      </c>
      <c r="C29" s="121">
        <v>2</v>
      </c>
      <c r="D29" s="27" t="s">
        <v>258</v>
      </c>
      <c r="E29" s="27"/>
      <c r="F29" s="203"/>
      <c r="G29" s="27"/>
      <c r="H29" s="27"/>
      <c r="I29" s="27"/>
      <c r="J29" s="27"/>
      <c r="K29" s="27"/>
    </row>
    <row r="30" spans="1:14" outlineLevel="1" x14ac:dyDescent="0.3">
      <c r="A30" s="64">
        <f t="shared" si="0"/>
        <v>28</v>
      </c>
      <c r="B30" s="64" t="s">
        <v>261</v>
      </c>
      <c r="C30" s="64">
        <v>1</v>
      </c>
      <c r="D30" s="64" t="s">
        <v>268</v>
      </c>
      <c r="E30" s="64"/>
      <c r="F30" s="65"/>
      <c r="G30" s="27"/>
      <c r="H30" s="27"/>
      <c r="I30" s="27"/>
      <c r="J30" s="27"/>
      <c r="K30" s="27"/>
    </row>
    <row r="31" spans="1:14" outlineLevel="1" x14ac:dyDescent="0.3">
      <c r="A31" s="64">
        <f t="shared" si="0"/>
        <v>29</v>
      </c>
      <c r="B31" s="64" t="s">
        <v>260</v>
      </c>
      <c r="C31" s="64">
        <v>1</v>
      </c>
      <c r="D31" s="64" t="s">
        <v>269</v>
      </c>
      <c r="E31" s="64"/>
      <c r="F31" s="65"/>
      <c r="G31" s="27"/>
      <c r="H31" s="27"/>
      <c r="I31" s="27"/>
      <c r="J31" s="27"/>
      <c r="K31" s="27"/>
    </row>
    <row r="32" spans="1:14" outlineLevel="1" x14ac:dyDescent="0.3">
      <c r="A32" s="64">
        <f t="shared" si="0"/>
        <v>30</v>
      </c>
      <c r="B32" s="64" t="s">
        <v>270</v>
      </c>
      <c r="C32" s="123">
        <v>1</v>
      </c>
      <c r="D32" s="64" t="s">
        <v>256</v>
      </c>
      <c r="E32" s="64"/>
      <c r="F32" s="64" t="s">
        <v>346</v>
      </c>
      <c r="G32" s="27"/>
      <c r="H32" s="27"/>
      <c r="I32" s="27"/>
      <c r="J32" s="27"/>
      <c r="K32" s="27"/>
    </row>
    <row r="33" spans="1:11" outlineLevel="1" x14ac:dyDescent="0.3">
      <c r="A33" s="64">
        <f t="shared" si="0"/>
        <v>31</v>
      </c>
      <c r="B33" s="64" t="s">
        <v>270</v>
      </c>
      <c r="C33" s="123">
        <v>1</v>
      </c>
      <c r="D33" s="64" t="s">
        <v>257</v>
      </c>
      <c r="E33" s="64"/>
      <c r="F33" s="64"/>
      <c r="G33" s="27"/>
      <c r="H33" s="27"/>
      <c r="I33" s="27"/>
      <c r="J33" s="27"/>
      <c r="K33" s="27"/>
    </row>
    <row r="34" spans="1:11" outlineLevel="1" x14ac:dyDescent="0.3">
      <c r="A34" s="64">
        <f t="shared" si="0"/>
        <v>32</v>
      </c>
      <c r="B34" s="64" t="s">
        <v>270</v>
      </c>
      <c r="C34" s="123">
        <v>1</v>
      </c>
      <c r="D34" s="64" t="s">
        <v>258</v>
      </c>
      <c r="E34" s="64"/>
      <c r="F34" s="64"/>
      <c r="G34" s="27"/>
      <c r="H34" s="27"/>
      <c r="I34" s="27"/>
      <c r="J34" s="27"/>
      <c r="K34" s="27"/>
    </row>
    <row r="35" spans="1:11" outlineLevel="1" x14ac:dyDescent="0.3">
      <c r="A35" s="64">
        <f t="shared" si="0"/>
        <v>33</v>
      </c>
      <c r="B35" s="64" t="s">
        <v>270</v>
      </c>
      <c r="C35" s="123">
        <v>1</v>
      </c>
      <c r="D35" s="64" t="s">
        <v>259</v>
      </c>
      <c r="E35" s="64"/>
      <c r="F35" s="64"/>
      <c r="G35" s="27"/>
      <c r="H35" s="27"/>
      <c r="I35" s="27"/>
      <c r="J35" s="27"/>
      <c r="K35" s="27"/>
    </row>
    <row r="36" spans="1:11" outlineLevel="1" x14ac:dyDescent="0.3">
      <c r="A36">
        <v>34</v>
      </c>
      <c r="B36" t="s">
        <v>261</v>
      </c>
      <c r="C36">
        <v>1</v>
      </c>
      <c r="D36" t="s">
        <v>436</v>
      </c>
      <c r="G36" s="27"/>
      <c r="H36" s="27"/>
      <c r="I36" s="27"/>
      <c r="J36" s="27"/>
      <c r="K36" s="27"/>
    </row>
    <row r="37" spans="1:11" outlineLevel="1" x14ac:dyDescent="0.3">
      <c r="A37" s="27">
        <f>(A35+1)+1</f>
        <v>35</v>
      </c>
      <c r="B37" s="27" t="s">
        <v>261</v>
      </c>
      <c r="C37" s="27">
        <v>1</v>
      </c>
      <c r="D37" s="27" t="s">
        <v>272</v>
      </c>
      <c r="E37" s="27"/>
      <c r="F37" s="27"/>
    </row>
    <row r="38" spans="1:11" outlineLevel="1" x14ac:dyDescent="0.3">
      <c r="A38" s="27">
        <f t="shared" ref="A38:A43" si="1">(A37+1)+1</f>
        <v>37</v>
      </c>
      <c r="B38" s="27" t="s">
        <v>261</v>
      </c>
      <c r="C38" s="27">
        <v>1</v>
      </c>
      <c r="D38" s="27" t="s">
        <v>273</v>
      </c>
      <c r="E38" s="27"/>
    </row>
    <row r="39" spans="1:11" outlineLevel="1" x14ac:dyDescent="0.3">
      <c r="A39" s="27">
        <f t="shared" si="1"/>
        <v>39</v>
      </c>
      <c r="B39" s="27" t="s">
        <v>271</v>
      </c>
      <c r="C39" s="27">
        <v>3</v>
      </c>
      <c r="D39" s="27" t="s">
        <v>274</v>
      </c>
      <c r="E39" s="27"/>
    </row>
    <row r="40" spans="1:11" outlineLevel="1" x14ac:dyDescent="0.3">
      <c r="A40" s="27">
        <f t="shared" si="1"/>
        <v>41</v>
      </c>
      <c r="B40" s="27" t="s">
        <v>261</v>
      </c>
      <c r="C40" s="27">
        <v>1</v>
      </c>
      <c r="D40" s="27" t="s">
        <v>275</v>
      </c>
      <c r="E40" s="27"/>
    </row>
    <row r="41" spans="1:11" outlineLevel="1" x14ac:dyDescent="0.3">
      <c r="A41" s="27">
        <f t="shared" si="1"/>
        <v>43</v>
      </c>
      <c r="B41" s="27" t="s">
        <v>271</v>
      </c>
      <c r="C41" s="27">
        <v>3</v>
      </c>
      <c r="D41" s="27" t="s">
        <v>274</v>
      </c>
      <c r="E41" s="27"/>
    </row>
    <row r="42" spans="1:11" outlineLevel="1" x14ac:dyDescent="0.3">
      <c r="A42" s="27">
        <f t="shared" si="1"/>
        <v>45</v>
      </c>
      <c r="B42" s="27" t="s">
        <v>261</v>
      </c>
      <c r="C42" s="27">
        <v>1</v>
      </c>
      <c r="D42" s="27" t="s">
        <v>276</v>
      </c>
      <c r="E42" s="27"/>
    </row>
    <row r="43" spans="1:11" outlineLevel="1" x14ac:dyDescent="0.3">
      <c r="A43" s="27">
        <f t="shared" si="1"/>
        <v>47</v>
      </c>
      <c r="B43" s="27" t="s">
        <v>271</v>
      </c>
      <c r="C43" s="27">
        <v>3</v>
      </c>
      <c r="D43" s="27" t="s">
        <v>274</v>
      </c>
      <c r="E43" s="27"/>
    </row>
    <row r="44" spans="1:11" outlineLevel="1" x14ac:dyDescent="0.3">
      <c r="A44" s="64">
        <v>42</v>
      </c>
      <c r="B44" s="64" t="s">
        <v>305</v>
      </c>
      <c r="C44" s="64">
        <v>3</v>
      </c>
      <c r="D44" s="64" t="s">
        <v>301</v>
      </c>
      <c r="E44" s="64"/>
      <c r="F44" s="64"/>
    </row>
    <row r="45" spans="1:11" outlineLevel="1" x14ac:dyDescent="0.3">
      <c r="A45" s="64">
        <v>43</v>
      </c>
      <c r="B45" s="64" t="s">
        <v>306</v>
      </c>
      <c r="C45" s="64">
        <v>3</v>
      </c>
      <c r="D45" s="64" t="s">
        <v>309</v>
      </c>
      <c r="E45" s="64"/>
      <c r="F45" s="64" t="s">
        <v>347</v>
      </c>
    </row>
    <row r="46" spans="1:11" outlineLevel="1" x14ac:dyDescent="0.3">
      <c r="A46" s="64">
        <v>44</v>
      </c>
      <c r="B46" s="64" t="s">
        <v>308</v>
      </c>
      <c r="C46" s="64">
        <v>5</v>
      </c>
      <c r="D46" s="64" t="s">
        <v>307</v>
      </c>
      <c r="E46" s="64"/>
      <c r="F46" s="64"/>
    </row>
    <row r="47" spans="1:11" outlineLevel="1" x14ac:dyDescent="0.3">
      <c r="C47">
        <f>SUM(C3:C46)</f>
        <v>65</v>
      </c>
    </row>
    <row r="48" spans="1:11" outlineLevel="1" x14ac:dyDescent="0.3">
      <c r="A48" t="s">
        <v>130</v>
      </c>
      <c r="B48" t="s">
        <v>131</v>
      </c>
    </row>
    <row r="49" spans="1:23" outlineLevel="1" x14ac:dyDescent="0.3">
      <c r="A49" t="str">
        <f>INDEX(lang!108:108,1,LNG)</f>
        <v>yes</v>
      </c>
      <c r="B49" t="str">
        <f>INDEX(lang!109:109,1,LNG)</f>
        <v>no</v>
      </c>
    </row>
    <row r="50" spans="1:23" ht="28.8" customHeight="1" x14ac:dyDescent="0.4">
      <c r="A50" s="201" t="s">
        <v>310</v>
      </c>
      <c r="B50" s="201"/>
      <c r="C50" s="201"/>
      <c r="D50" s="201"/>
      <c r="E50" s="201"/>
      <c r="F50" s="201"/>
      <c r="L50" s="201" t="s">
        <v>314</v>
      </c>
      <c r="M50" s="201"/>
      <c r="N50" s="201"/>
      <c r="O50" s="201"/>
      <c r="P50" s="201"/>
      <c r="Q50" s="201"/>
      <c r="R50" s="205" t="s">
        <v>419</v>
      </c>
      <c r="S50" s="206"/>
      <c r="T50" s="206"/>
      <c r="U50" s="114" t="s">
        <v>413</v>
      </c>
      <c r="V50" s="41" t="b">
        <f>W50=1</f>
        <v>1</v>
      </c>
      <c r="W50">
        <v>1</v>
      </c>
    </row>
    <row r="51" spans="1:23" x14ac:dyDescent="0.3">
      <c r="A51" t="s">
        <v>241</v>
      </c>
      <c r="B51" t="s">
        <v>297</v>
      </c>
      <c r="C51" t="s">
        <v>298</v>
      </c>
      <c r="D51" t="s">
        <v>302</v>
      </c>
      <c r="E51" t="s">
        <v>312</v>
      </c>
      <c r="F51" t="s">
        <v>313</v>
      </c>
      <c r="G51" t="s">
        <v>311</v>
      </c>
      <c r="H51" t="s">
        <v>297</v>
      </c>
      <c r="I51" t="s">
        <v>406</v>
      </c>
      <c r="J51" t="s">
        <v>302</v>
      </c>
      <c r="L51" t="s">
        <v>241</v>
      </c>
      <c r="M51" t="s">
        <v>297</v>
      </c>
      <c r="N51" t="s">
        <v>298</v>
      </c>
      <c r="O51" t="s">
        <v>302</v>
      </c>
      <c r="P51" t="s">
        <v>312</v>
      </c>
      <c r="Q51" t="s">
        <v>313</v>
      </c>
      <c r="R51" t="s">
        <v>311</v>
      </c>
      <c r="S51" t="s">
        <v>297</v>
      </c>
      <c r="T51" t="s">
        <v>406</v>
      </c>
      <c r="U51" t="s">
        <v>302</v>
      </c>
      <c r="V51" t="s">
        <v>412</v>
      </c>
      <c r="W51" t="s">
        <v>39</v>
      </c>
    </row>
    <row r="52" spans="1:23" x14ac:dyDescent="0.3">
      <c r="A52">
        <v>1</v>
      </c>
      <c r="B52">
        <f>Options!D9</f>
        <v>0</v>
      </c>
      <c r="C52" s="54">
        <f t="shared" ref="C52:D61" si="2">B52</f>
        <v>0</v>
      </c>
      <c r="D52" s="55">
        <f t="shared" si="2"/>
        <v>0</v>
      </c>
      <c r="E52">
        <v>1</v>
      </c>
      <c r="F52">
        <v>1</v>
      </c>
      <c r="G52" s="55" t="str">
        <f t="shared" ref="G52:G85" si="3">MID($A$104,E52,F52)</f>
        <v>0</v>
      </c>
      <c r="H52">
        <f t="shared" ref="H52:H84" si="4">VALUE(G52)</f>
        <v>0</v>
      </c>
      <c r="I52">
        <f>IF(AND(H52&gt;-1,H52&lt;5),0,1)</f>
        <v>0</v>
      </c>
      <c r="J52" s="52">
        <f t="shared" ref="J52:J61" si="5">H52</f>
        <v>0</v>
      </c>
      <c r="L52">
        <v>1</v>
      </c>
      <c r="M52" s="52">
        <f ca="1">data!B141+IF(data!A12=1,24,0)</f>
        <v>4</v>
      </c>
      <c r="N52" s="57" t="str">
        <f ca="1">TEXT(M52,"00")</f>
        <v>04</v>
      </c>
      <c r="O52" s="60">
        <f ca="1">VALUE(LEFT(N52,1))+VALUE(RIGHT(N52,1))</f>
        <v>4</v>
      </c>
      <c r="P52">
        <v>1</v>
      </c>
      <c r="Q52">
        <v>2</v>
      </c>
      <c r="R52" t="str">
        <f t="shared" ref="R52:R87" si="6">MID($L$104,P52,Q52)</f>
        <v>04</v>
      </c>
      <c r="S52">
        <f t="shared" ref="S52:S85" si="7">VALUE(R52)</f>
        <v>4</v>
      </c>
      <c r="T52">
        <f>IF(AND(S52&gt;-1,S52&lt;49),0,1)</f>
        <v>0</v>
      </c>
      <c r="U52" s="52">
        <f>VALUE(LEFT(R52,1))+VALUE(RIGHT(R52,1))</f>
        <v>4</v>
      </c>
      <c r="V52">
        <f>IF($V$50,S52,M52)</f>
        <v>4</v>
      </c>
      <c r="W52">
        <f>IF(V52&gt;24,V52-24,V52)</f>
        <v>4</v>
      </c>
    </row>
    <row r="53" spans="1:23" x14ac:dyDescent="0.3">
      <c r="A53">
        <v>2</v>
      </c>
      <c r="B53">
        <f>Options!E9</f>
        <v>0</v>
      </c>
      <c r="C53" s="54">
        <f t="shared" si="2"/>
        <v>0</v>
      </c>
      <c r="D53" s="55">
        <f t="shared" si="2"/>
        <v>0</v>
      </c>
      <c r="E53">
        <f t="shared" ref="E53:E84" si="8">F52+E52</f>
        <v>2</v>
      </c>
      <c r="F53">
        <v>1</v>
      </c>
      <c r="G53" s="55" t="str">
        <f t="shared" si="3"/>
        <v>0</v>
      </c>
      <c r="H53">
        <f t="shared" si="4"/>
        <v>0</v>
      </c>
      <c r="I53">
        <f t="shared" ref="I53:I56" si="9">IF(AND(H53&gt;-1,H53&lt;5),0,1)</f>
        <v>0</v>
      </c>
      <c r="J53" s="52">
        <f t="shared" si="5"/>
        <v>0</v>
      </c>
      <c r="L53">
        <v>2</v>
      </c>
      <c r="M53">
        <f>IF(data!H136,data!B143,0)</f>
        <v>0</v>
      </c>
      <c r="N53" s="57">
        <f>M53</f>
        <v>0</v>
      </c>
      <c r="O53" s="61">
        <f>N53</f>
        <v>0</v>
      </c>
      <c r="P53">
        <f t="shared" ref="P53:P87" si="10">P52+Q52</f>
        <v>3</v>
      </c>
      <c r="Q53">
        <v>1</v>
      </c>
      <c r="R53" t="str">
        <f t="shared" si="6"/>
        <v>0</v>
      </c>
      <c r="S53">
        <f t="shared" si="7"/>
        <v>0</v>
      </c>
      <c r="T53">
        <f t="shared" ref="T53:T54" si="11">IF(OR(S53=0,S53=1),0,1)</f>
        <v>0</v>
      </c>
      <c r="U53">
        <f>S53</f>
        <v>0</v>
      </c>
      <c r="V53">
        <f t="shared" ref="V53:V83" si="12">IF($V$50,S53,M53)</f>
        <v>0</v>
      </c>
    </row>
    <row r="54" spans="1:23" x14ac:dyDescent="0.3">
      <c r="A54">
        <v>3</v>
      </c>
      <c r="B54">
        <f>Options!F9</f>
        <v>0</v>
      </c>
      <c r="C54" s="54">
        <f t="shared" si="2"/>
        <v>0</v>
      </c>
      <c r="D54" s="55">
        <f t="shared" si="2"/>
        <v>0</v>
      </c>
      <c r="E54">
        <f t="shared" si="8"/>
        <v>3</v>
      </c>
      <c r="F54">
        <v>1</v>
      </c>
      <c r="G54" s="55" t="str">
        <f t="shared" si="3"/>
        <v>0</v>
      </c>
      <c r="H54">
        <f t="shared" si="4"/>
        <v>0</v>
      </c>
      <c r="I54">
        <f t="shared" si="9"/>
        <v>0</v>
      </c>
      <c r="J54" s="52">
        <f t="shared" si="5"/>
        <v>0</v>
      </c>
      <c r="L54">
        <v>3</v>
      </c>
      <c r="M54">
        <f>IF(data!H136,data!$B$149,0)</f>
        <v>0</v>
      </c>
      <c r="N54" s="57">
        <f>M54</f>
        <v>0</v>
      </c>
      <c r="O54" s="61">
        <f>N54</f>
        <v>0</v>
      </c>
      <c r="P54">
        <f t="shared" si="10"/>
        <v>4</v>
      </c>
      <c r="Q54">
        <v>1</v>
      </c>
      <c r="R54" t="str">
        <f t="shared" si="6"/>
        <v>0</v>
      </c>
      <c r="S54">
        <f t="shared" si="7"/>
        <v>0</v>
      </c>
      <c r="T54">
        <f t="shared" si="11"/>
        <v>0</v>
      </c>
      <c r="U54">
        <f>S54</f>
        <v>0</v>
      </c>
      <c r="V54">
        <f t="shared" si="12"/>
        <v>0</v>
      </c>
    </row>
    <row r="55" spans="1:23" x14ac:dyDescent="0.3">
      <c r="A55">
        <v>4</v>
      </c>
      <c r="B55">
        <f>Options!G9</f>
        <v>0</v>
      </c>
      <c r="C55" s="54">
        <f t="shared" si="2"/>
        <v>0</v>
      </c>
      <c r="D55" s="55">
        <f t="shared" si="2"/>
        <v>0</v>
      </c>
      <c r="E55">
        <f t="shared" si="8"/>
        <v>4</v>
      </c>
      <c r="F55">
        <v>1</v>
      </c>
      <c r="G55" s="55" t="str">
        <f t="shared" si="3"/>
        <v>0</v>
      </c>
      <c r="H55">
        <f t="shared" si="4"/>
        <v>0</v>
      </c>
      <c r="I55">
        <f t="shared" si="9"/>
        <v>0</v>
      </c>
      <c r="J55" s="52">
        <f t="shared" si="5"/>
        <v>0</v>
      </c>
      <c r="L55">
        <v>4</v>
      </c>
      <c r="M55">
        <f ca="1">IF(data!$O$113,IF(data!$B$113&gt;0,IF(data!$B$113=9,data!$H$115,IF(data!$B$113=10,data!$K$115,IF(data!$B$113=11,data!$L$115,IF(data!$B$113=12,data!$M$115,0)))),0),0)</f>
        <v>0</v>
      </c>
      <c r="N55" s="57" t="str">
        <f ca="1">TEXT(M55,"00")</f>
        <v>00</v>
      </c>
      <c r="O55" s="60">
        <f ca="1">VALUE(LEFT(N55,1))+VALUE(RIGHT(N55,1))</f>
        <v>0</v>
      </c>
      <c r="P55">
        <f t="shared" si="10"/>
        <v>5</v>
      </c>
      <c r="Q55">
        <v>2</v>
      </c>
      <c r="R55" t="str">
        <f t="shared" si="6"/>
        <v>00</v>
      </c>
      <c r="S55">
        <f t="shared" si="7"/>
        <v>0</v>
      </c>
      <c r="T55">
        <f>IF(AND(S55&gt;-1,S55&lt;16),0,1)</f>
        <v>0</v>
      </c>
      <c r="U55" s="52">
        <f>VALUE(LEFT(R55,1))+VALUE(RIGHT(R55,1))</f>
        <v>0</v>
      </c>
      <c r="V55">
        <f t="shared" si="12"/>
        <v>0</v>
      </c>
    </row>
    <row r="56" spans="1:23" x14ac:dyDescent="0.3">
      <c r="A56">
        <v>5</v>
      </c>
      <c r="B56">
        <f>Options!H9</f>
        <v>0</v>
      </c>
      <c r="C56" s="54">
        <f t="shared" si="2"/>
        <v>0</v>
      </c>
      <c r="D56" s="55">
        <f t="shared" si="2"/>
        <v>0</v>
      </c>
      <c r="E56">
        <f t="shared" si="8"/>
        <v>5</v>
      </c>
      <c r="F56">
        <v>1</v>
      </c>
      <c r="G56" s="55" t="str">
        <f t="shared" si="3"/>
        <v>0</v>
      </c>
      <c r="H56">
        <f t="shared" si="4"/>
        <v>0</v>
      </c>
      <c r="I56">
        <f t="shared" si="9"/>
        <v>0</v>
      </c>
      <c r="J56" s="52">
        <f t="shared" si="5"/>
        <v>0</v>
      </c>
      <c r="L56">
        <v>5</v>
      </c>
      <c r="M56">
        <f ca="1">IF(data!$O$113,IF(data!$B$113=9,data!$I$116,0),0)</f>
        <v>0</v>
      </c>
      <c r="N56" s="57" t="str">
        <f ca="1">TEXT(M56,"00")</f>
        <v>00</v>
      </c>
      <c r="O56" s="60">
        <f ca="1">VALUE(LEFT(N56,1))+VALUE(RIGHT(N56,1))</f>
        <v>0</v>
      </c>
      <c r="P56">
        <f t="shared" si="10"/>
        <v>7</v>
      </c>
      <c r="Q56">
        <v>2</v>
      </c>
      <c r="R56" t="str">
        <f t="shared" si="6"/>
        <v>00</v>
      </c>
      <c r="S56">
        <f t="shared" si="7"/>
        <v>0</v>
      </c>
      <c r="T56">
        <f t="shared" ref="T56:T57" si="13">IF(AND(S56&gt;-1,S56&lt;16),0,1)</f>
        <v>0</v>
      </c>
      <c r="U56" s="52">
        <f>VALUE(LEFT(R56,1))+VALUE(RIGHT(R56,1))</f>
        <v>0</v>
      </c>
      <c r="V56">
        <f t="shared" si="12"/>
        <v>0</v>
      </c>
    </row>
    <row r="57" spans="1:23" x14ac:dyDescent="0.3">
      <c r="A57">
        <v>6</v>
      </c>
      <c r="B57">
        <f>IF(Options!D10=$A$49,1,0)</f>
        <v>1</v>
      </c>
      <c r="C57" s="54">
        <f t="shared" si="2"/>
        <v>1</v>
      </c>
      <c r="D57" s="55">
        <f t="shared" si="2"/>
        <v>1</v>
      </c>
      <c r="E57">
        <f t="shared" si="8"/>
        <v>6</v>
      </c>
      <c r="F57">
        <v>1</v>
      </c>
      <c r="G57" s="55" t="str">
        <f t="shared" si="3"/>
        <v>1</v>
      </c>
      <c r="H57">
        <f t="shared" si="4"/>
        <v>1</v>
      </c>
      <c r="I57">
        <f>IF(OR(H57=0,H57=1),0,1)</f>
        <v>0</v>
      </c>
      <c r="J57" s="52">
        <f t="shared" si="5"/>
        <v>1</v>
      </c>
      <c r="L57">
        <v>6</v>
      </c>
      <c r="M57">
        <f ca="1">IF(data!$O$113,IF(data!$B$113=9,data!$J$116,0),0)</f>
        <v>0</v>
      </c>
      <c r="N57" s="57" t="str">
        <f ca="1">TEXT(M57,"00")</f>
        <v>00</v>
      </c>
      <c r="O57" s="60">
        <f ca="1">VALUE(LEFT(N57,1))+VALUE(RIGHT(N57,1))</f>
        <v>0</v>
      </c>
      <c r="P57">
        <f t="shared" si="10"/>
        <v>9</v>
      </c>
      <c r="Q57">
        <v>2</v>
      </c>
      <c r="R57" t="str">
        <f t="shared" si="6"/>
        <v>00</v>
      </c>
      <c r="S57">
        <f t="shared" si="7"/>
        <v>0</v>
      </c>
      <c r="T57">
        <f t="shared" si="13"/>
        <v>0</v>
      </c>
      <c r="U57" s="52">
        <f>VALUE(LEFT(R57,1))+VALUE(RIGHT(R57,1))</f>
        <v>0</v>
      </c>
      <c r="V57">
        <f t="shared" si="12"/>
        <v>0</v>
      </c>
      <c r="W57" s="39" t="str">
        <f>IF(V55=0,"",CHAR(10)&amp;"("&amp;INDEX(lang!$76:$76,1,LNG)&amp;": "&amp;INDEX(data!$C$119:$C$133,V55)&amp;IF(V56=0,"",", "&amp;INDEX(data!$C$119:$C$133,V56)&amp;IF(V57=0,"",", "&amp;INDEX(data!$C$119:$C$133,V57)))&amp;")")</f>
        <v/>
      </c>
    </row>
    <row r="58" spans="1:23" x14ac:dyDescent="0.3">
      <c r="A58">
        <v>7</v>
      </c>
      <c r="B58">
        <f>IF(Options!E10=$A$49,1,0)</f>
        <v>0</v>
      </c>
      <c r="C58" s="54">
        <f t="shared" si="2"/>
        <v>0</v>
      </c>
      <c r="D58" s="55">
        <f t="shared" si="2"/>
        <v>0</v>
      </c>
      <c r="E58">
        <f t="shared" si="8"/>
        <v>7</v>
      </c>
      <c r="F58">
        <v>1</v>
      </c>
      <c r="G58" s="55" t="str">
        <f t="shared" si="3"/>
        <v>0</v>
      </c>
      <c r="H58">
        <f t="shared" si="4"/>
        <v>0</v>
      </c>
      <c r="I58">
        <f t="shared" ref="I58:I61" si="14">IF(OR(H58=0,H58=1),0,1)</f>
        <v>0</v>
      </c>
      <c r="J58" s="52">
        <f t="shared" si="5"/>
        <v>0</v>
      </c>
      <c r="L58">
        <f t="shared" ref="L58:L83" si="15">L57+1</f>
        <v>7</v>
      </c>
      <c r="M58" s="52">
        <f ca="1">data!C141+IF(data!B12=1,24,0)</f>
        <v>26</v>
      </c>
      <c r="N58" s="57" t="str">
        <f ca="1">TEXT(M58,"00")</f>
        <v>26</v>
      </c>
      <c r="O58" s="60">
        <f ca="1">VALUE(LEFT(N58,1))+VALUE(RIGHT(N58,1))</f>
        <v>8</v>
      </c>
      <c r="P58">
        <f t="shared" si="10"/>
        <v>11</v>
      </c>
      <c r="Q58">
        <v>2</v>
      </c>
      <c r="R58" t="str">
        <f t="shared" si="6"/>
        <v>08</v>
      </c>
      <c r="S58">
        <f t="shared" si="7"/>
        <v>8</v>
      </c>
      <c r="T58">
        <f>IF(AND(S58&gt;-1,S58&lt;49),0,1)</f>
        <v>0</v>
      </c>
      <c r="U58" s="52">
        <f>VALUE(LEFT(R58,1))+VALUE(RIGHT(R58,1))</f>
        <v>8</v>
      </c>
      <c r="V58">
        <f t="shared" si="12"/>
        <v>8</v>
      </c>
      <c r="W58">
        <f>IF(V58&gt;24,V58-24,V58)</f>
        <v>8</v>
      </c>
    </row>
    <row r="59" spans="1:23" x14ac:dyDescent="0.3">
      <c r="A59">
        <v>8</v>
      </c>
      <c r="B59">
        <f>IF(Options!F10=$A$49,1,0)</f>
        <v>0</v>
      </c>
      <c r="C59" s="54">
        <f t="shared" si="2"/>
        <v>0</v>
      </c>
      <c r="D59" s="55">
        <f t="shared" si="2"/>
        <v>0</v>
      </c>
      <c r="E59">
        <f t="shared" si="8"/>
        <v>8</v>
      </c>
      <c r="F59">
        <v>1</v>
      </c>
      <c r="G59" s="55" t="str">
        <f t="shared" si="3"/>
        <v>0</v>
      </c>
      <c r="H59">
        <f t="shared" si="4"/>
        <v>0</v>
      </c>
      <c r="I59">
        <f t="shared" si="14"/>
        <v>0</v>
      </c>
      <c r="J59" s="52">
        <f t="shared" si="5"/>
        <v>0</v>
      </c>
      <c r="L59">
        <f t="shared" si="15"/>
        <v>8</v>
      </c>
      <c r="M59">
        <f>IF(data!H136,data!C143,0)</f>
        <v>0</v>
      </c>
      <c r="N59" s="57">
        <f>M59</f>
        <v>0</v>
      </c>
      <c r="O59" s="61">
        <f>N59</f>
        <v>0</v>
      </c>
      <c r="P59">
        <f t="shared" si="10"/>
        <v>13</v>
      </c>
      <c r="Q59">
        <v>1</v>
      </c>
      <c r="R59" t="str">
        <f t="shared" si="6"/>
        <v>0</v>
      </c>
      <c r="S59">
        <f t="shared" si="7"/>
        <v>0</v>
      </c>
      <c r="T59">
        <f t="shared" ref="T59:T60" si="16">IF(OR(S59=0,S59=1),0,1)</f>
        <v>0</v>
      </c>
      <c r="U59">
        <f>S59</f>
        <v>0</v>
      </c>
      <c r="V59">
        <f t="shared" si="12"/>
        <v>0</v>
      </c>
    </row>
    <row r="60" spans="1:23" x14ac:dyDescent="0.3">
      <c r="A60">
        <v>9</v>
      </c>
      <c r="B60">
        <f>IF(Options!G10=$A$49,1,0)</f>
        <v>0</v>
      </c>
      <c r="C60" s="54">
        <f t="shared" si="2"/>
        <v>0</v>
      </c>
      <c r="D60" s="55">
        <f t="shared" si="2"/>
        <v>0</v>
      </c>
      <c r="E60">
        <f t="shared" si="8"/>
        <v>9</v>
      </c>
      <c r="F60">
        <v>1</v>
      </c>
      <c r="G60" s="55" t="str">
        <f t="shared" si="3"/>
        <v>0</v>
      </c>
      <c r="H60">
        <f t="shared" si="4"/>
        <v>0</v>
      </c>
      <c r="I60">
        <f t="shared" si="14"/>
        <v>0</v>
      </c>
      <c r="J60" s="52">
        <f t="shared" si="5"/>
        <v>0</v>
      </c>
      <c r="L60">
        <f t="shared" si="15"/>
        <v>9</v>
      </c>
      <c r="M60">
        <f>IF(data!H136,data!$B$149,0)</f>
        <v>0</v>
      </c>
      <c r="N60" s="57">
        <f>M60</f>
        <v>0</v>
      </c>
      <c r="O60" s="61">
        <f>N60</f>
        <v>0</v>
      </c>
      <c r="P60">
        <f t="shared" si="10"/>
        <v>14</v>
      </c>
      <c r="Q60">
        <v>1</v>
      </c>
      <c r="R60" t="str">
        <f t="shared" si="6"/>
        <v>0</v>
      </c>
      <c r="S60">
        <f t="shared" si="7"/>
        <v>0</v>
      </c>
      <c r="T60">
        <f t="shared" si="16"/>
        <v>0</v>
      </c>
      <c r="U60">
        <f>S60</f>
        <v>0</v>
      </c>
      <c r="V60">
        <f t="shared" si="12"/>
        <v>0</v>
      </c>
    </row>
    <row r="61" spans="1:23" x14ac:dyDescent="0.3">
      <c r="A61">
        <v>10</v>
      </c>
      <c r="B61">
        <f>IF(Options!H10=$A$49,1,0)</f>
        <v>0</v>
      </c>
      <c r="C61" s="54">
        <f t="shared" si="2"/>
        <v>0</v>
      </c>
      <c r="D61" s="55">
        <f t="shared" si="2"/>
        <v>0</v>
      </c>
      <c r="E61">
        <f t="shared" si="8"/>
        <v>10</v>
      </c>
      <c r="F61">
        <v>1</v>
      </c>
      <c r="G61" s="55" t="str">
        <f t="shared" si="3"/>
        <v>0</v>
      </c>
      <c r="H61">
        <f t="shared" si="4"/>
        <v>0</v>
      </c>
      <c r="I61">
        <f t="shared" si="14"/>
        <v>0</v>
      </c>
      <c r="J61" s="52">
        <f t="shared" si="5"/>
        <v>0</v>
      </c>
      <c r="L61">
        <f t="shared" si="15"/>
        <v>10</v>
      </c>
      <c r="M61">
        <f ca="1">IF(data!$O$113,IF(data!$B$114&gt;0,IF(data!$B$114=9,data!$H$115,IF(data!$B$114=10,data!$K$115,IF(data!$B$114=11,data!$L$115,IF(data!$B$114=12,data!$M$115,0)))),0),0)</f>
        <v>0</v>
      </c>
      <c r="N61" s="57" t="str">
        <f ca="1">TEXT(M61,"00")</f>
        <v>00</v>
      </c>
      <c r="O61" s="60">
        <f ca="1">VALUE(LEFT(N61,1))+VALUE(RIGHT(N61,1))</f>
        <v>0</v>
      </c>
      <c r="P61">
        <f t="shared" si="10"/>
        <v>15</v>
      </c>
      <c r="Q61">
        <v>2</v>
      </c>
      <c r="R61" t="str">
        <f t="shared" si="6"/>
        <v>00</v>
      </c>
      <c r="S61">
        <f t="shared" si="7"/>
        <v>0</v>
      </c>
      <c r="T61">
        <f>IF(AND(S61&gt;-1,S61&lt;16),0,1)</f>
        <v>0</v>
      </c>
      <c r="U61" s="52">
        <f>VALUE(LEFT(R61,1))+VALUE(RIGHT(R61,1))</f>
        <v>0</v>
      </c>
      <c r="V61">
        <f t="shared" si="12"/>
        <v>0</v>
      </c>
    </row>
    <row r="62" spans="1:23" x14ac:dyDescent="0.3">
      <c r="A62">
        <v>11</v>
      </c>
      <c r="B62">
        <f>IFERROR(MATCH(Options!M9,data!$C$15:$C$38,0),0)</f>
        <v>0</v>
      </c>
      <c r="C62" s="54" t="str">
        <f>TEXT(B62,"00")</f>
        <v>00</v>
      </c>
      <c r="D62" s="55">
        <f>VALUE(LEFT(C62,1))+VALUE(RIGHT(C62,1))</f>
        <v>0</v>
      </c>
      <c r="E62">
        <f t="shared" si="8"/>
        <v>11</v>
      </c>
      <c r="F62">
        <v>2</v>
      </c>
      <c r="G62" s="55" t="str">
        <f t="shared" si="3"/>
        <v>00</v>
      </c>
      <c r="H62">
        <f t="shared" si="4"/>
        <v>0</v>
      </c>
      <c r="I62">
        <f>IF(AND(H62&gt;-1,H62&lt;25),0,1)</f>
        <v>0</v>
      </c>
      <c r="J62" s="52">
        <f>VALUE(LEFT(G62,1))+VALUE(RIGHT(G62,1))</f>
        <v>0</v>
      </c>
      <c r="L62">
        <f t="shared" si="15"/>
        <v>11</v>
      </c>
      <c r="M62">
        <f ca="1">IF(data!$O$113,IF(data!$B$114=9,data!$I$116,0),0)</f>
        <v>0</v>
      </c>
      <c r="N62" s="57" t="str">
        <f ca="1">TEXT(M62,"00")</f>
        <v>00</v>
      </c>
      <c r="O62" s="60">
        <f ca="1">VALUE(LEFT(N62,1))+VALUE(RIGHT(N62,1))</f>
        <v>0</v>
      </c>
      <c r="P62">
        <f t="shared" si="10"/>
        <v>17</v>
      </c>
      <c r="Q62">
        <v>2</v>
      </c>
      <c r="R62" t="str">
        <f t="shared" si="6"/>
        <v>00</v>
      </c>
      <c r="S62">
        <f t="shared" si="7"/>
        <v>0</v>
      </c>
      <c r="T62">
        <f t="shared" ref="T62:T63" si="17">IF(AND(S62&gt;-1,S62&lt;16),0,1)</f>
        <v>0</v>
      </c>
      <c r="U62" s="52">
        <f>VALUE(LEFT(R62,1))+VALUE(RIGHT(R62,1))</f>
        <v>0</v>
      </c>
      <c r="V62">
        <f t="shared" si="12"/>
        <v>0</v>
      </c>
    </row>
    <row r="63" spans="1:23" x14ac:dyDescent="0.3">
      <c r="A63">
        <v>12</v>
      </c>
      <c r="B63">
        <f>IFERROR(MATCH(Options!M10,data!$C$15:$C$38,0),0)</f>
        <v>0</v>
      </c>
      <c r="C63" s="54" t="str">
        <f>TEXT(B63,"00")</f>
        <v>00</v>
      </c>
      <c r="D63" s="55">
        <f>VALUE(LEFT(C63,1))+VALUE(RIGHT(C63,1))</f>
        <v>0</v>
      </c>
      <c r="E63">
        <f t="shared" si="8"/>
        <v>13</v>
      </c>
      <c r="F63">
        <v>2</v>
      </c>
      <c r="G63" s="55" t="str">
        <f t="shared" si="3"/>
        <v>00</v>
      </c>
      <c r="H63">
        <f t="shared" si="4"/>
        <v>0</v>
      </c>
      <c r="I63">
        <f t="shared" ref="I63:I65" si="18">IF(AND(H63&gt;-1,H63&lt;25),0,1)</f>
        <v>0</v>
      </c>
      <c r="J63" s="52">
        <f>VALUE(LEFT(G63,1))+VALUE(RIGHT(G63,1))</f>
        <v>0</v>
      </c>
      <c r="L63">
        <f t="shared" si="15"/>
        <v>12</v>
      </c>
      <c r="M63">
        <f ca="1">IF(data!$O$113,IF(data!$B$114=9,data!$J$116,0),0)</f>
        <v>0</v>
      </c>
      <c r="N63" s="57" t="str">
        <f ca="1">TEXT(M63,"00")</f>
        <v>00</v>
      </c>
      <c r="O63" s="60">
        <f ca="1">VALUE(LEFT(N63,1))+VALUE(RIGHT(N63,1))</f>
        <v>0</v>
      </c>
      <c r="P63">
        <f t="shared" si="10"/>
        <v>19</v>
      </c>
      <c r="Q63">
        <v>2</v>
      </c>
      <c r="R63" t="str">
        <f t="shared" si="6"/>
        <v>00</v>
      </c>
      <c r="S63">
        <f t="shared" si="7"/>
        <v>0</v>
      </c>
      <c r="T63">
        <f t="shared" si="17"/>
        <v>0</v>
      </c>
      <c r="U63" s="52">
        <f>VALUE(LEFT(R63,1))+VALUE(RIGHT(R63,1))</f>
        <v>0</v>
      </c>
      <c r="V63">
        <f t="shared" si="12"/>
        <v>0</v>
      </c>
      <c r="W63" s="39" t="str">
        <f>IF(V61=0,"",CHAR(10)&amp;"("&amp;INDEX(lang!$76:$76,1,LNG)&amp;": "&amp;INDEX(data!$C$119:$C$133,V61)&amp;IF(V62=0,"",", "&amp;INDEX(data!$C$119:$C$133,V62)&amp;IF(V63=0,"",", "&amp;INDEX(data!$C$119:$C$133,V63)))&amp;")")</f>
        <v/>
      </c>
    </row>
    <row r="64" spans="1:23" x14ac:dyDescent="0.3">
      <c r="A64">
        <v>13</v>
      </c>
      <c r="B64">
        <f>IFERROR(MATCH(Options!M11,data!$C$15:$C$38,0),0)</f>
        <v>0</v>
      </c>
      <c r="C64" s="54" t="str">
        <f>TEXT(B64,"00")</f>
        <v>00</v>
      </c>
      <c r="D64" s="55">
        <f>VALUE(LEFT(C64,1))+VALUE(RIGHT(C64,1))</f>
        <v>0</v>
      </c>
      <c r="E64">
        <f t="shared" si="8"/>
        <v>15</v>
      </c>
      <c r="F64">
        <v>2</v>
      </c>
      <c r="G64" s="55" t="str">
        <f t="shared" si="3"/>
        <v>00</v>
      </c>
      <c r="H64">
        <f t="shared" si="4"/>
        <v>0</v>
      </c>
      <c r="I64">
        <f t="shared" si="18"/>
        <v>0</v>
      </c>
      <c r="J64" s="52">
        <f>VALUE(LEFT(G64,1))+VALUE(RIGHT(G64,1))</f>
        <v>0</v>
      </c>
      <c r="L64">
        <f t="shared" si="15"/>
        <v>13</v>
      </c>
      <c r="M64" s="52">
        <f ca="1">data!D141+IF(data!C12=1,24,0)</f>
        <v>1</v>
      </c>
      <c r="N64" s="57" t="str">
        <f ca="1">TEXT(M64,"00")</f>
        <v>01</v>
      </c>
      <c r="O64" s="60">
        <f ca="1">VALUE(LEFT(N64,1))+VALUE(RIGHT(N64,1))</f>
        <v>1</v>
      </c>
      <c r="P64">
        <f t="shared" si="10"/>
        <v>21</v>
      </c>
      <c r="Q64">
        <v>2</v>
      </c>
      <c r="R64" t="str">
        <f t="shared" si="6"/>
        <v>30</v>
      </c>
      <c r="S64">
        <f t="shared" si="7"/>
        <v>30</v>
      </c>
      <c r="T64">
        <f>IF(AND(S64&gt;-1,S64&lt;49),0,1)</f>
        <v>0</v>
      </c>
      <c r="U64" s="52">
        <f>VALUE(LEFT(R64,1))+VALUE(RIGHT(R64,1))</f>
        <v>3</v>
      </c>
      <c r="V64">
        <f t="shared" si="12"/>
        <v>30</v>
      </c>
      <c r="W64">
        <f>IF(V64&gt;24,V64-24,V64)</f>
        <v>6</v>
      </c>
    </row>
    <row r="65" spans="1:23" x14ac:dyDescent="0.3">
      <c r="A65">
        <v>14</v>
      </c>
      <c r="B65">
        <f>IFERROR(MATCH(Options!M12,data!$C$14:$C$38,0),0)</f>
        <v>0</v>
      </c>
      <c r="C65" s="54" t="str">
        <f>TEXT(B65,"00")</f>
        <v>00</v>
      </c>
      <c r="D65" s="55">
        <f>VALUE(LEFT(C65,1))+VALUE(RIGHT(C65,1))</f>
        <v>0</v>
      </c>
      <c r="E65">
        <f t="shared" si="8"/>
        <v>17</v>
      </c>
      <c r="F65">
        <v>2</v>
      </c>
      <c r="G65" s="55" t="str">
        <f t="shared" si="3"/>
        <v>00</v>
      </c>
      <c r="H65">
        <f t="shared" si="4"/>
        <v>0</v>
      </c>
      <c r="I65">
        <f t="shared" si="18"/>
        <v>0</v>
      </c>
      <c r="J65" s="52">
        <f>VALUE(LEFT(G65,1))+VALUE(RIGHT(G65,1))</f>
        <v>0</v>
      </c>
      <c r="L65">
        <f t="shared" si="15"/>
        <v>14</v>
      </c>
      <c r="M65">
        <f>IF(data!H136,data!D143,0)</f>
        <v>0</v>
      </c>
      <c r="N65" s="57">
        <f>M65</f>
        <v>0</v>
      </c>
      <c r="O65" s="61">
        <f>N65</f>
        <v>0</v>
      </c>
      <c r="P65">
        <f t="shared" si="10"/>
        <v>23</v>
      </c>
      <c r="Q65">
        <v>1</v>
      </c>
      <c r="R65" t="str">
        <f t="shared" si="6"/>
        <v>0</v>
      </c>
      <c r="S65">
        <f t="shared" si="7"/>
        <v>0</v>
      </c>
      <c r="T65">
        <f t="shared" ref="T65:T66" si="19">IF(OR(S65=0,S65=1),0,1)</f>
        <v>0</v>
      </c>
      <c r="U65">
        <f>S65</f>
        <v>0</v>
      </c>
      <c r="V65">
        <f t="shared" si="12"/>
        <v>0</v>
      </c>
    </row>
    <row r="66" spans="1:23" x14ac:dyDescent="0.3">
      <c r="A66">
        <v>15</v>
      </c>
      <c r="B66">
        <f>IF(Options!F12=$A$49,1,0)</f>
        <v>1</v>
      </c>
      <c r="C66" s="54">
        <f t="shared" ref="C66:D75" si="20">B66</f>
        <v>1</v>
      </c>
      <c r="D66" s="55">
        <f t="shared" si="20"/>
        <v>1</v>
      </c>
      <c r="E66">
        <f t="shared" si="8"/>
        <v>19</v>
      </c>
      <c r="F66">
        <v>1</v>
      </c>
      <c r="G66" s="55" t="str">
        <f t="shared" si="3"/>
        <v>1</v>
      </c>
      <c r="H66">
        <f t="shared" si="4"/>
        <v>1</v>
      </c>
      <c r="I66">
        <f t="shared" ref="I66:I67" si="21">IF(OR(H66=0,H66=1),0,1)</f>
        <v>0</v>
      </c>
      <c r="J66" s="52">
        <f t="shared" ref="J66:J75" si="22">H66</f>
        <v>1</v>
      </c>
      <c r="L66">
        <f t="shared" si="15"/>
        <v>15</v>
      </c>
      <c r="M66">
        <f>IF(data!H136,data!$B$149,0)</f>
        <v>0</v>
      </c>
      <c r="N66" s="57">
        <f>M66</f>
        <v>0</v>
      </c>
      <c r="O66" s="61">
        <f>N66</f>
        <v>0</v>
      </c>
      <c r="P66">
        <f t="shared" si="10"/>
        <v>24</v>
      </c>
      <c r="Q66">
        <v>1</v>
      </c>
      <c r="R66" t="str">
        <f t="shared" si="6"/>
        <v>0</v>
      </c>
      <c r="S66">
        <f t="shared" si="7"/>
        <v>0</v>
      </c>
      <c r="T66">
        <f t="shared" si="19"/>
        <v>0</v>
      </c>
      <c r="U66">
        <f>S66</f>
        <v>0</v>
      </c>
      <c r="V66">
        <f t="shared" si="12"/>
        <v>0</v>
      </c>
    </row>
    <row r="67" spans="1:23" x14ac:dyDescent="0.3">
      <c r="A67">
        <v>16</v>
      </c>
      <c r="B67">
        <f>IF(Options!F18=$A$49,1,0)</f>
        <v>1</v>
      </c>
      <c r="C67" s="54">
        <f t="shared" si="20"/>
        <v>1</v>
      </c>
      <c r="D67" s="55">
        <f t="shared" si="20"/>
        <v>1</v>
      </c>
      <c r="E67">
        <f t="shared" si="8"/>
        <v>20</v>
      </c>
      <c r="F67">
        <v>1</v>
      </c>
      <c r="G67" s="55" t="str">
        <f t="shared" si="3"/>
        <v>1</v>
      </c>
      <c r="H67">
        <f t="shared" si="4"/>
        <v>1</v>
      </c>
      <c r="I67">
        <f t="shared" si="21"/>
        <v>0</v>
      </c>
      <c r="J67" s="52">
        <f t="shared" si="22"/>
        <v>1</v>
      </c>
      <c r="L67">
        <f t="shared" si="15"/>
        <v>16</v>
      </c>
      <c r="M67">
        <f ca="1">IF(data!$O$113,IF(data!$B$115&gt;0,IF(data!$B$115=9,data!$H$115,IF(data!$B$115=10,data!$K$115,IF(data!$B$115=11,data!$L$115,IF(data!$B$115=12,data!$M$115,0)))),0),0)</f>
        <v>0</v>
      </c>
      <c r="N67" s="57" t="str">
        <f ca="1">TEXT(M67,"00")</f>
        <v>00</v>
      </c>
      <c r="O67" s="60">
        <f ca="1">VALUE(LEFT(N67,1))+VALUE(RIGHT(N67,1))</f>
        <v>0</v>
      </c>
      <c r="P67">
        <f t="shared" si="10"/>
        <v>25</v>
      </c>
      <c r="Q67">
        <v>2</v>
      </c>
      <c r="R67" t="str">
        <f t="shared" si="6"/>
        <v>00</v>
      </c>
      <c r="S67">
        <f t="shared" si="7"/>
        <v>0</v>
      </c>
      <c r="T67">
        <f>IF(AND(S67&gt;-1,S67&lt;16),0,1)</f>
        <v>0</v>
      </c>
      <c r="U67" s="52">
        <f>VALUE(LEFT(R67,1))+VALUE(RIGHT(R67,1))</f>
        <v>0</v>
      </c>
      <c r="V67">
        <f t="shared" si="12"/>
        <v>0</v>
      </c>
    </row>
    <row r="68" spans="1:23" x14ac:dyDescent="0.3">
      <c r="A68">
        <v>17</v>
      </c>
      <c r="B68">
        <f>Options!D22</f>
        <v>0</v>
      </c>
      <c r="C68" s="54">
        <f t="shared" si="20"/>
        <v>0</v>
      </c>
      <c r="D68" s="55">
        <f t="shared" si="20"/>
        <v>0</v>
      </c>
      <c r="E68">
        <f t="shared" si="8"/>
        <v>21</v>
      </c>
      <c r="F68">
        <v>1</v>
      </c>
      <c r="G68" s="55" t="str">
        <f t="shared" si="3"/>
        <v>0</v>
      </c>
      <c r="H68">
        <f t="shared" si="4"/>
        <v>0</v>
      </c>
      <c r="I68">
        <f>IF(AND(H68&gt;-1,H68&lt;4),0,1)</f>
        <v>0</v>
      </c>
      <c r="J68" s="52">
        <f t="shared" si="22"/>
        <v>0</v>
      </c>
      <c r="L68">
        <f t="shared" si="15"/>
        <v>17</v>
      </c>
      <c r="M68">
        <f ca="1">IF(data!$O$113,IF(data!$B$115=9,data!$I$116,0),0)</f>
        <v>0</v>
      </c>
      <c r="N68" s="57" t="str">
        <f ca="1">TEXT(M68,"00")</f>
        <v>00</v>
      </c>
      <c r="O68" s="60">
        <f ca="1">VALUE(LEFT(N68,1))+VALUE(RIGHT(N68,1))</f>
        <v>0</v>
      </c>
      <c r="P68">
        <f t="shared" si="10"/>
        <v>27</v>
      </c>
      <c r="Q68">
        <v>2</v>
      </c>
      <c r="R68" t="str">
        <f t="shared" si="6"/>
        <v>00</v>
      </c>
      <c r="S68">
        <f t="shared" si="7"/>
        <v>0</v>
      </c>
      <c r="T68">
        <f t="shared" ref="T68:T69" si="23">IF(AND(S68&gt;-1,S68&lt;16),0,1)</f>
        <v>0</v>
      </c>
      <c r="U68" s="52">
        <f>VALUE(LEFT(R68,1))+VALUE(RIGHT(R68,1))</f>
        <v>0</v>
      </c>
      <c r="V68">
        <f t="shared" si="12"/>
        <v>0</v>
      </c>
    </row>
    <row r="69" spans="1:23" x14ac:dyDescent="0.3">
      <c r="A69">
        <v>18</v>
      </c>
      <c r="B69">
        <f>Options!E22</f>
        <v>0</v>
      </c>
      <c r="C69" s="54">
        <f t="shared" si="20"/>
        <v>0</v>
      </c>
      <c r="D69" s="55">
        <f t="shared" si="20"/>
        <v>0</v>
      </c>
      <c r="E69">
        <f t="shared" si="8"/>
        <v>22</v>
      </c>
      <c r="F69">
        <v>1</v>
      </c>
      <c r="G69" s="55" t="str">
        <f t="shared" si="3"/>
        <v>0</v>
      </c>
      <c r="H69">
        <f t="shared" si="4"/>
        <v>0</v>
      </c>
      <c r="I69">
        <f>IF(AND(H69&gt;-1,H69&lt;4),0,1)</f>
        <v>0</v>
      </c>
      <c r="J69" s="52">
        <f t="shared" si="22"/>
        <v>0</v>
      </c>
      <c r="L69">
        <f t="shared" si="15"/>
        <v>18</v>
      </c>
      <c r="M69">
        <f ca="1">IF(data!$O$113,IF(data!$B$115=9,data!$J$116,0),0)</f>
        <v>0</v>
      </c>
      <c r="N69" s="57" t="str">
        <f ca="1">TEXT(M69,"00")</f>
        <v>00</v>
      </c>
      <c r="O69" s="60">
        <f ca="1">VALUE(LEFT(N69,1))+VALUE(RIGHT(N69,1))</f>
        <v>0</v>
      </c>
      <c r="P69">
        <f t="shared" si="10"/>
        <v>29</v>
      </c>
      <c r="Q69">
        <v>2</v>
      </c>
      <c r="R69" t="str">
        <f t="shared" si="6"/>
        <v>00</v>
      </c>
      <c r="S69">
        <f t="shared" si="7"/>
        <v>0</v>
      </c>
      <c r="T69">
        <f t="shared" si="23"/>
        <v>0</v>
      </c>
      <c r="U69" s="52">
        <f>VALUE(LEFT(R69,1))+VALUE(RIGHT(R69,1))</f>
        <v>0</v>
      </c>
      <c r="V69">
        <f t="shared" si="12"/>
        <v>0</v>
      </c>
      <c r="W69" s="39" t="str">
        <f>IF(V67=0,"",CHAR(10)&amp;"("&amp;INDEX(lang!$76:$76,1,LNG)&amp;": "&amp;INDEX(data!$C$119:$C$133,V67)&amp;IF(V68=0,"",", "&amp;INDEX(data!$C$119:$C$133,V68)&amp;IF(V69=0,"",", "&amp;INDEX(data!$C$119:$C$133,V69)))&amp;")")</f>
        <v/>
      </c>
    </row>
    <row r="70" spans="1:23" x14ac:dyDescent="0.3">
      <c r="A70">
        <v>19</v>
      </c>
      <c r="B70">
        <f>Options!G22</f>
        <v>0</v>
      </c>
      <c r="C70" s="54">
        <f t="shared" si="20"/>
        <v>0</v>
      </c>
      <c r="D70" s="55">
        <f t="shared" si="20"/>
        <v>0</v>
      </c>
      <c r="E70">
        <f t="shared" si="8"/>
        <v>23</v>
      </c>
      <c r="F70">
        <v>1</v>
      </c>
      <c r="G70" s="55" t="str">
        <f t="shared" si="3"/>
        <v>0</v>
      </c>
      <c r="H70">
        <f t="shared" si="4"/>
        <v>0</v>
      </c>
      <c r="I70">
        <f>IF(AND(H70&gt;-1,H70&lt;4),0,1)</f>
        <v>0</v>
      </c>
      <c r="J70" s="52">
        <f t="shared" si="22"/>
        <v>0</v>
      </c>
      <c r="L70">
        <f t="shared" si="15"/>
        <v>19</v>
      </c>
      <c r="M70" s="52">
        <f ca="1">data!E141+IF(data!D12=1,24,0)</f>
        <v>29</v>
      </c>
      <c r="N70" s="57" t="str">
        <f ca="1">TEXT(M70,"00")</f>
        <v>29</v>
      </c>
      <c r="O70" s="60">
        <f ca="1">VALUE(LEFT(N70,1))+VALUE(RIGHT(N70,1))</f>
        <v>11</v>
      </c>
      <c r="P70">
        <f t="shared" si="10"/>
        <v>31</v>
      </c>
      <c r="Q70">
        <v>2</v>
      </c>
      <c r="R70" t="str">
        <f t="shared" si="6"/>
        <v>31</v>
      </c>
      <c r="S70">
        <f t="shared" si="7"/>
        <v>31</v>
      </c>
      <c r="T70">
        <f>IF(AND(S70&gt;-1,S70&lt;49),0,1)</f>
        <v>0</v>
      </c>
      <c r="U70" s="52">
        <f>VALUE(LEFT(R70,1))+VALUE(RIGHT(R70,1))</f>
        <v>4</v>
      </c>
      <c r="V70">
        <f t="shared" si="12"/>
        <v>31</v>
      </c>
      <c r="W70">
        <f>IF(V70&gt;24,V70-24,V70)</f>
        <v>7</v>
      </c>
    </row>
    <row r="71" spans="1:23" x14ac:dyDescent="0.3">
      <c r="A71">
        <v>20</v>
      </c>
      <c r="B71">
        <f>Options!H22</f>
        <v>0</v>
      </c>
      <c r="C71" s="54">
        <f t="shared" si="20"/>
        <v>0</v>
      </c>
      <c r="D71" s="55">
        <f t="shared" si="20"/>
        <v>0</v>
      </c>
      <c r="E71">
        <f t="shared" si="8"/>
        <v>24</v>
      </c>
      <c r="F71">
        <v>1</v>
      </c>
      <c r="G71" s="55" t="str">
        <f t="shared" si="3"/>
        <v>0</v>
      </c>
      <c r="H71">
        <f t="shared" si="4"/>
        <v>0</v>
      </c>
      <c r="I71">
        <f>IF(AND(H71&gt;-1,H71&lt;4),0,1)</f>
        <v>0</v>
      </c>
      <c r="J71" s="52">
        <f t="shared" si="22"/>
        <v>0</v>
      </c>
      <c r="L71">
        <f t="shared" si="15"/>
        <v>20</v>
      </c>
      <c r="M71">
        <f>IF(data!H136,data!E143,0)</f>
        <v>0</v>
      </c>
      <c r="N71" s="57">
        <f>M71</f>
        <v>0</v>
      </c>
      <c r="O71" s="61">
        <f>N71</f>
        <v>0</v>
      </c>
      <c r="P71">
        <f t="shared" si="10"/>
        <v>33</v>
      </c>
      <c r="Q71">
        <v>1</v>
      </c>
      <c r="R71" t="str">
        <f t="shared" si="6"/>
        <v>0</v>
      </c>
      <c r="S71">
        <f t="shared" si="7"/>
        <v>0</v>
      </c>
      <c r="T71">
        <f t="shared" ref="T71:T72" si="24">IF(OR(S71=0,S71=1),0,1)</f>
        <v>0</v>
      </c>
      <c r="U71">
        <f>S71</f>
        <v>0</v>
      </c>
      <c r="V71">
        <f t="shared" si="12"/>
        <v>0</v>
      </c>
    </row>
    <row r="72" spans="1:23" x14ac:dyDescent="0.3">
      <c r="A72">
        <v>21</v>
      </c>
      <c r="B72">
        <f>IF(Options!D23=$A$49,1,0)</f>
        <v>0</v>
      </c>
      <c r="C72" s="54">
        <f t="shared" si="20"/>
        <v>0</v>
      </c>
      <c r="D72" s="55">
        <f t="shared" si="20"/>
        <v>0</v>
      </c>
      <c r="E72">
        <f t="shared" si="8"/>
        <v>25</v>
      </c>
      <c r="F72">
        <v>1</v>
      </c>
      <c r="G72" s="55" t="str">
        <f t="shared" si="3"/>
        <v>0</v>
      </c>
      <c r="H72">
        <f t="shared" si="4"/>
        <v>0</v>
      </c>
      <c r="I72">
        <f t="shared" ref="I72:I75" si="25">IF(OR(H72=0,H72=1),0,1)</f>
        <v>0</v>
      </c>
      <c r="J72" s="52">
        <f t="shared" si="22"/>
        <v>0</v>
      </c>
      <c r="L72">
        <f t="shared" si="15"/>
        <v>21</v>
      </c>
      <c r="M72">
        <f>IF(data!H136,data!$B$149,0)</f>
        <v>0</v>
      </c>
      <c r="N72" s="57">
        <f>M72</f>
        <v>0</v>
      </c>
      <c r="O72" s="61">
        <f>N72</f>
        <v>0</v>
      </c>
      <c r="P72">
        <f t="shared" si="10"/>
        <v>34</v>
      </c>
      <c r="Q72">
        <v>1</v>
      </c>
      <c r="R72" t="str">
        <f t="shared" si="6"/>
        <v>0</v>
      </c>
      <c r="S72">
        <f t="shared" si="7"/>
        <v>0</v>
      </c>
      <c r="T72">
        <f t="shared" si="24"/>
        <v>0</v>
      </c>
      <c r="U72">
        <f>S72</f>
        <v>0</v>
      </c>
      <c r="V72">
        <f t="shared" si="12"/>
        <v>0</v>
      </c>
    </row>
    <row r="73" spans="1:23" x14ac:dyDescent="0.3">
      <c r="A73">
        <v>22</v>
      </c>
      <c r="B73">
        <f>IF(Options!E23=$A$49,1,0)</f>
        <v>0</v>
      </c>
      <c r="C73" s="54">
        <f t="shared" si="20"/>
        <v>0</v>
      </c>
      <c r="D73" s="55">
        <f t="shared" si="20"/>
        <v>0</v>
      </c>
      <c r="E73">
        <f t="shared" si="8"/>
        <v>26</v>
      </c>
      <c r="F73">
        <v>1</v>
      </c>
      <c r="G73" s="55" t="str">
        <f t="shared" si="3"/>
        <v>0</v>
      </c>
      <c r="H73">
        <f t="shared" si="4"/>
        <v>0</v>
      </c>
      <c r="I73">
        <f t="shared" si="25"/>
        <v>0</v>
      </c>
      <c r="J73" s="52">
        <f t="shared" si="22"/>
        <v>0</v>
      </c>
      <c r="L73">
        <f t="shared" si="15"/>
        <v>22</v>
      </c>
      <c r="M73">
        <f ca="1">IF(data!$O$113,IF(data!$B$116&gt;0,IF(data!$B$116=9,data!$H$115,IF(data!$B$116=10,data!$K$115,IF(data!$B$116=11,data!$L$115,IF(data!$B$116=12,data!$M$115,0)))),0),0)</f>
        <v>0</v>
      </c>
      <c r="N73" s="57" t="str">
        <f t="shared" ref="N73:N78" ca="1" si="26">TEXT(M73,"00")</f>
        <v>00</v>
      </c>
      <c r="O73" s="60">
        <f t="shared" ref="O73:O78" ca="1" si="27">VALUE(LEFT(N73,1))+VALUE(RIGHT(N73,1))</f>
        <v>0</v>
      </c>
      <c r="P73">
        <f t="shared" si="10"/>
        <v>35</v>
      </c>
      <c r="Q73">
        <v>2</v>
      </c>
      <c r="R73" t="str">
        <f t="shared" si="6"/>
        <v>00</v>
      </c>
      <c r="S73">
        <f t="shared" si="7"/>
        <v>0</v>
      </c>
      <c r="T73">
        <f>IF(AND(S73&gt;-1,S73&lt;16),0,1)</f>
        <v>0</v>
      </c>
      <c r="U73" s="52">
        <f t="shared" ref="U73:U78" si="28">VALUE(LEFT(R73,1))+VALUE(RIGHT(R73,1))</f>
        <v>0</v>
      </c>
      <c r="V73">
        <f t="shared" si="12"/>
        <v>0</v>
      </c>
    </row>
    <row r="74" spans="1:23" x14ac:dyDescent="0.3">
      <c r="A74">
        <v>23</v>
      </c>
      <c r="B74">
        <f>IF(Options!G23=$A$49,1,0)</f>
        <v>0</v>
      </c>
      <c r="C74" s="54">
        <f t="shared" si="20"/>
        <v>0</v>
      </c>
      <c r="D74" s="55">
        <f t="shared" si="20"/>
        <v>0</v>
      </c>
      <c r="E74">
        <f t="shared" si="8"/>
        <v>27</v>
      </c>
      <c r="F74">
        <v>1</v>
      </c>
      <c r="G74" s="55" t="str">
        <f t="shared" si="3"/>
        <v>0</v>
      </c>
      <c r="H74">
        <f t="shared" si="4"/>
        <v>0</v>
      </c>
      <c r="I74">
        <f t="shared" si="25"/>
        <v>0</v>
      </c>
      <c r="J74" s="52">
        <f t="shared" si="22"/>
        <v>0</v>
      </c>
      <c r="L74">
        <f t="shared" si="15"/>
        <v>23</v>
      </c>
      <c r="M74">
        <f ca="1">IF(data!$O$113,IF(data!$B$116=9,data!$I$116,0),0)</f>
        <v>0</v>
      </c>
      <c r="N74" s="57" t="str">
        <f t="shared" ca="1" si="26"/>
        <v>00</v>
      </c>
      <c r="O74" s="60">
        <f t="shared" ca="1" si="27"/>
        <v>0</v>
      </c>
      <c r="P74">
        <f t="shared" si="10"/>
        <v>37</v>
      </c>
      <c r="Q74">
        <v>2</v>
      </c>
      <c r="R74" t="str">
        <f t="shared" si="6"/>
        <v>00</v>
      </c>
      <c r="S74">
        <f t="shared" si="7"/>
        <v>0</v>
      </c>
      <c r="T74">
        <f t="shared" ref="T74:T75" si="29">IF(AND(S74&gt;-1,S74&lt;16),0,1)</f>
        <v>0</v>
      </c>
      <c r="U74" s="52">
        <f t="shared" si="28"/>
        <v>0</v>
      </c>
      <c r="V74">
        <f t="shared" si="12"/>
        <v>0</v>
      </c>
    </row>
    <row r="75" spans="1:23" x14ac:dyDescent="0.3">
      <c r="A75">
        <v>24</v>
      </c>
      <c r="B75">
        <f>IF(Options!H23=$A$49,1,0)</f>
        <v>0</v>
      </c>
      <c r="C75" s="54">
        <f t="shared" si="20"/>
        <v>0</v>
      </c>
      <c r="D75" s="55">
        <f t="shared" si="20"/>
        <v>0</v>
      </c>
      <c r="E75">
        <f t="shared" si="8"/>
        <v>28</v>
      </c>
      <c r="F75">
        <v>1</v>
      </c>
      <c r="G75" s="55" t="str">
        <f t="shared" si="3"/>
        <v>0</v>
      </c>
      <c r="H75">
        <f t="shared" si="4"/>
        <v>0</v>
      </c>
      <c r="I75">
        <f t="shared" si="25"/>
        <v>0</v>
      </c>
      <c r="J75" s="52">
        <f t="shared" si="22"/>
        <v>0</v>
      </c>
      <c r="L75">
        <f t="shared" si="15"/>
        <v>24</v>
      </c>
      <c r="M75">
        <f ca="1">IF(data!$O$113,IF(data!$B$116=9,data!$J$116,0),0)</f>
        <v>0</v>
      </c>
      <c r="N75" s="57" t="str">
        <f t="shared" ca="1" si="26"/>
        <v>00</v>
      </c>
      <c r="O75" s="60">
        <f t="shared" ca="1" si="27"/>
        <v>0</v>
      </c>
      <c r="P75">
        <f t="shared" si="10"/>
        <v>39</v>
      </c>
      <c r="Q75">
        <v>2</v>
      </c>
      <c r="R75" t="str">
        <f t="shared" si="6"/>
        <v>00</v>
      </c>
      <c r="S75">
        <f t="shared" si="7"/>
        <v>0</v>
      </c>
      <c r="T75">
        <f t="shared" si="29"/>
        <v>0</v>
      </c>
      <c r="U75" s="52">
        <f t="shared" si="28"/>
        <v>0</v>
      </c>
      <c r="V75">
        <f t="shared" si="12"/>
        <v>0</v>
      </c>
      <c r="W75" s="39" t="str">
        <f>IF(V73=0,"",CHAR(10)&amp;"("&amp;INDEX(lang!$76:$76,1,LNG)&amp;": "&amp;INDEX(data!$C$119:$C$133,V73)&amp;IF(V74=0,"",", "&amp;INDEX(data!$C$119:$C$133,V74)&amp;IF(V75=0,"",", "&amp;INDEX(data!$C$119:$C$133,V75)))&amp;")")</f>
        <v/>
      </c>
    </row>
    <row r="76" spans="1:23" x14ac:dyDescent="0.3">
      <c r="A76">
        <v>25</v>
      </c>
      <c r="B76">
        <f>IFERROR(MATCH(Options!M22,data!$C$60:$C$84,0),0)</f>
        <v>0</v>
      </c>
      <c r="C76" s="54" t="str">
        <f>TEXT(B76,"00")</f>
        <v>00</v>
      </c>
      <c r="D76" s="55">
        <f>VALUE(LEFT(C76,1))+VALUE(RIGHT(C76,1))</f>
        <v>0</v>
      </c>
      <c r="E76">
        <f t="shared" si="8"/>
        <v>29</v>
      </c>
      <c r="F76">
        <v>2</v>
      </c>
      <c r="G76" s="55" t="str">
        <f t="shared" si="3"/>
        <v>00</v>
      </c>
      <c r="H76">
        <f t="shared" si="4"/>
        <v>0</v>
      </c>
      <c r="I76">
        <f>IF(AND(H76&gt;-1,H76&lt;26),0,1)</f>
        <v>0</v>
      </c>
      <c r="J76" s="52">
        <f>VALUE(LEFT(G76,1))+VALUE(RIGHT(G76,1))</f>
        <v>0</v>
      </c>
      <c r="L76">
        <f t="shared" si="15"/>
        <v>25</v>
      </c>
      <c r="M76">
        <f ca="1">data!H57</f>
        <v>6</v>
      </c>
      <c r="N76" s="57" t="str">
        <f t="shared" ca="1" si="26"/>
        <v>06</v>
      </c>
      <c r="O76" s="60">
        <f t="shared" ca="1" si="27"/>
        <v>6</v>
      </c>
      <c r="P76">
        <f t="shared" si="10"/>
        <v>41</v>
      </c>
      <c r="Q76">
        <v>2</v>
      </c>
      <c r="R76" t="str">
        <f t="shared" si="6"/>
        <v>10</v>
      </c>
      <c r="S76">
        <f t="shared" si="7"/>
        <v>10</v>
      </c>
      <c r="T76">
        <f>IF(AND(S76&gt;-1,S76&lt;26),0,1)</f>
        <v>0</v>
      </c>
      <c r="U76" s="52">
        <f t="shared" si="28"/>
        <v>1</v>
      </c>
      <c r="V76">
        <f t="shared" si="12"/>
        <v>10</v>
      </c>
    </row>
    <row r="77" spans="1:23" x14ac:dyDescent="0.3">
      <c r="A77">
        <v>26</v>
      </c>
      <c r="B77">
        <f>IFERROR(MATCH(Options!M23,data!$C$60:$C$84,0),0)</f>
        <v>0</v>
      </c>
      <c r="C77" s="54" t="str">
        <f>TEXT(B77,"00")</f>
        <v>00</v>
      </c>
      <c r="D77" s="55">
        <f>VALUE(LEFT(C77,1))+VALUE(RIGHT(C77,1))</f>
        <v>0</v>
      </c>
      <c r="E77">
        <f t="shared" si="8"/>
        <v>31</v>
      </c>
      <c r="F77">
        <v>2</v>
      </c>
      <c r="G77" s="55" t="str">
        <f t="shared" si="3"/>
        <v>00</v>
      </c>
      <c r="H77">
        <f t="shared" si="4"/>
        <v>0</v>
      </c>
      <c r="I77">
        <f t="shared" ref="I77:I78" si="30">IF(AND(H77&gt;-1,H77&lt;26),0,1)</f>
        <v>0</v>
      </c>
      <c r="J77" s="52">
        <f>VALUE(LEFT(G77,1))+VALUE(RIGHT(G77,1))</f>
        <v>0</v>
      </c>
      <c r="L77">
        <f t="shared" si="15"/>
        <v>26</v>
      </c>
      <c r="M77">
        <f ca="1">data!I57</f>
        <v>2</v>
      </c>
      <c r="N77" s="57" t="str">
        <f t="shared" ca="1" si="26"/>
        <v>02</v>
      </c>
      <c r="O77" s="60">
        <f t="shared" ca="1" si="27"/>
        <v>2</v>
      </c>
      <c r="P77">
        <f t="shared" si="10"/>
        <v>43</v>
      </c>
      <c r="Q77">
        <v>2</v>
      </c>
      <c r="R77" t="str">
        <f t="shared" si="6"/>
        <v>07</v>
      </c>
      <c r="S77">
        <f t="shared" si="7"/>
        <v>7</v>
      </c>
      <c r="T77">
        <f t="shared" ref="T77:T78" si="31">IF(AND(S77&gt;-1,S77&lt;26),0,1)</f>
        <v>0</v>
      </c>
      <c r="U77" s="52">
        <f t="shared" si="28"/>
        <v>7</v>
      </c>
      <c r="V77">
        <f t="shared" si="12"/>
        <v>7</v>
      </c>
    </row>
    <row r="78" spans="1:23" x14ac:dyDescent="0.3">
      <c r="A78">
        <v>27</v>
      </c>
      <c r="B78">
        <f>IFERROR(MATCH(Options!M24,data!$C$60:$C$84,0),0)</f>
        <v>0</v>
      </c>
      <c r="C78" s="54" t="str">
        <f>TEXT(B78,"00")</f>
        <v>00</v>
      </c>
      <c r="D78" s="55">
        <f>VALUE(LEFT(C78,1))+VALUE(RIGHT(C78,1))</f>
        <v>0</v>
      </c>
      <c r="E78">
        <f t="shared" si="8"/>
        <v>33</v>
      </c>
      <c r="F78">
        <v>2</v>
      </c>
      <c r="G78" s="55" t="str">
        <f t="shared" si="3"/>
        <v>00</v>
      </c>
      <c r="H78">
        <f t="shared" si="4"/>
        <v>0</v>
      </c>
      <c r="I78">
        <f t="shared" si="30"/>
        <v>0</v>
      </c>
      <c r="J78" s="52">
        <f>VALUE(LEFT(G78,1))+VALUE(RIGHT(G78,1))</f>
        <v>0</v>
      </c>
      <c r="L78">
        <f t="shared" si="15"/>
        <v>27</v>
      </c>
      <c r="M78">
        <f ca="1">data!J57</f>
        <v>7</v>
      </c>
      <c r="N78" s="57" t="str">
        <f t="shared" ca="1" si="26"/>
        <v>07</v>
      </c>
      <c r="O78" s="60">
        <f t="shared" ca="1" si="27"/>
        <v>7</v>
      </c>
      <c r="P78">
        <f t="shared" si="10"/>
        <v>45</v>
      </c>
      <c r="Q78">
        <v>2</v>
      </c>
      <c r="R78" t="str">
        <f t="shared" si="6"/>
        <v>08</v>
      </c>
      <c r="S78">
        <f t="shared" si="7"/>
        <v>8</v>
      </c>
      <c r="T78">
        <f t="shared" si="31"/>
        <v>0</v>
      </c>
      <c r="U78" s="52">
        <f t="shared" si="28"/>
        <v>8</v>
      </c>
      <c r="V78">
        <f t="shared" si="12"/>
        <v>8</v>
      </c>
    </row>
    <row r="79" spans="1:23" x14ac:dyDescent="0.3">
      <c r="A79">
        <v>28</v>
      </c>
      <c r="B79">
        <f>IF(Options!F30=lngYES,1,0)</f>
        <v>1</v>
      </c>
      <c r="C79" s="54">
        <f t="shared" ref="C79:D84" si="32">B79</f>
        <v>1</v>
      </c>
      <c r="D79" s="55">
        <f t="shared" si="32"/>
        <v>1</v>
      </c>
      <c r="E79">
        <f t="shared" si="8"/>
        <v>35</v>
      </c>
      <c r="F79">
        <v>1</v>
      </c>
      <c r="G79" s="55" t="str">
        <f t="shared" si="3"/>
        <v>1</v>
      </c>
      <c r="H79">
        <f t="shared" si="4"/>
        <v>1</v>
      </c>
      <c r="I79">
        <f t="shared" ref="I79" si="33">IF(OR(H79=0,H79=1),0,1)</f>
        <v>0</v>
      </c>
      <c r="J79" s="52">
        <f t="shared" ref="J79:J84" si="34">H79</f>
        <v>1</v>
      </c>
      <c r="L79">
        <f t="shared" si="15"/>
        <v>28</v>
      </c>
      <c r="M79">
        <f ca="1">data!H96</f>
        <v>0</v>
      </c>
      <c r="N79" s="57">
        <f t="shared" ref="N79:O83" ca="1" si="35">M79</f>
        <v>0</v>
      </c>
      <c r="O79" s="61">
        <f t="shared" ca="1" si="35"/>
        <v>0</v>
      </c>
      <c r="P79">
        <f t="shared" si="10"/>
        <v>47</v>
      </c>
      <c r="Q79">
        <v>1</v>
      </c>
      <c r="R79" t="str">
        <f t="shared" si="6"/>
        <v>0</v>
      </c>
      <c r="S79">
        <f t="shared" si="7"/>
        <v>0</v>
      </c>
      <c r="T79">
        <f>IF(AND(S79&gt;-1,S79&lt;7),0,1)</f>
        <v>0</v>
      </c>
      <c r="U79">
        <f>S79</f>
        <v>0</v>
      </c>
      <c r="V79">
        <f t="shared" si="12"/>
        <v>0</v>
      </c>
    </row>
    <row r="80" spans="1:23" x14ac:dyDescent="0.3">
      <c r="A80">
        <v>29</v>
      </c>
      <c r="B80">
        <f>Options!F32</f>
        <v>0</v>
      </c>
      <c r="C80" s="54">
        <f t="shared" si="32"/>
        <v>0</v>
      </c>
      <c r="D80" s="55">
        <f t="shared" si="32"/>
        <v>0</v>
      </c>
      <c r="E80">
        <f t="shared" si="8"/>
        <v>36</v>
      </c>
      <c r="F80">
        <v>1</v>
      </c>
      <c r="G80" s="55" t="str">
        <f t="shared" si="3"/>
        <v>0</v>
      </c>
      <c r="H80">
        <f t="shared" si="4"/>
        <v>0</v>
      </c>
      <c r="I80">
        <f>IF(AND(H80&gt;-1,H80&lt;5),0,1)</f>
        <v>0</v>
      </c>
      <c r="J80" s="52">
        <f t="shared" si="34"/>
        <v>0</v>
      </c>
      <c r="L80">
        <f t="shared" si="15"/>
        <v>29</v>
      </c>
      <c r="M80">
        <f ca="1">data!I96</f>
        <v>0</v>
      </c>
      <c r="N80" s="57">
        <f t="shared" ca="1" si="35"/>
        <v>0</v>
      </c>
      <c r="O80" s="61">
        <f t="shared" ca="1" si="35"/>
        <v>0</v>
      </c>
      <c r="P80">
        <f t="shared" si="10"/>
        <v>48</v>
      </c>
      <c r="Q80">
        <v>1</v>
      </c>
      <c r="R80" t="str">
        <f t="shared" si="6"/>
        <v>0</v>
      </c>
      <c r="S80">
        <f t="shared" si="7"/>
        <v>0</v>
      </c>
      <c r="T80">
        <f t="shared" ref="T80:T82" si="36">IF(AND(S80&gt;-1,S80&lt;7),0,1)</f>
        <v>0</v>
      </c>
      <c r="U80">
        <f>S80</f>
        <v>0</v>
      </c>
      <c r="V80">
        <f t="shared" si="12"/>
        <v>0</v>
      </c>
    </row>
    <row r="81" spans="1:22" x14ac:dyDescent="0.3">
      <c r="A81">
        <v>30</v>
      </c>
      <c r="B81">
        <f>IFERROR(MATCH(Options!L34,data!$C$99:$C$104,0),0)</f>
        <v>0</v>
      </c>
      <c r="C81" s="54">
        <f t="shared" si="32"/>
        <v>0</v>
      </c>
      <c r="D81" s="55">
        <f t="shared" si="32"/>
        <v>0</v>
      </c>
      <c r="E81">
        <f t="shared" si="8"/>
        <v>37</v>
      </c>
      <c r="F81">
        <v>1</v>
      </c>
      <c r="G81" s="55" t="str">
        <f t="shared" si="3"/>
        <v>0</v>
      </c>
      <c r="H81">
        <f t="shared" si="4"/>
        <v>0</v>
      </c>
      <c r="I81">
        <f>IF(AND(H81&gt;-1,H81&lt;7),0,1)</f>
        <v>0</v>
      </c>
      <c r="J81" s="52">
        <f t="shared" si="34"/>
        <v>0</v>
      </c>
      <c r="L81">
        <f t="shared" si="15"/>
        <v>30</v>
      </c>
      <c r="M81">
        <f ca="1">data!J96</f>
        <v>0</v>
      </c>
      <c r="N81" s="57">
        <f t="shared" ca="1" si="35"/>
        <v>0</v>
      </c>
      <c r="O81" s="61">
        <f t="shared" ca="1" si="35"/>
        <v>0</v>
      </c>
      <c r="P81">
        <f t="shared" si="10"/>
        <v>49</v>
      </c>
      <c r="Q81">
        <v>1</v>
      </c>
      <c r="R81" t="str">
        <f t="shared" si="6"/>
        <v>0</v>
      </c>
      <c r="S81">
        <f t="shared" si="7"/>
        <v>0</v>
      </c>
      <c r="T81">
        <f t="shared" si="36"/>
        <v>0</v>
      </c>
      <c r="U81">
        <f>S81</f>
        <v>0</v>
      </c>
      <c r="V81">
        <f t="shared" si="12"/>
        <v>0</v>
      </c>
    </row>
    <row r="82" spans="1:22" x14ac:dyDescent="0.3">
      <c r="A82">
        <v>31</v>
      </c>
      <c r="B82">
        <f>IFERROR(MATCH(Options!L35,data!$C$99:$C$104,0),0)</f>
        <v>0</v>
      </c>
      <c r="C82" s="54">
        <f t="shared" si="32"/>
        <v>0</v>
      </c>
      <c r="D82" s="55">
        <f t="shared" si="32"/>
        <v>0</v>
      </c>
      <c r="E82">
        <f t="shared" si="8"/>
        <v>38</v>
      </c>
      <c r="F82">
        <v>1</v>
      </c>
      <c r="G82" s="55" t="str">
        <f t="shared" si="3"/>
        <v>0</v>
      </c>
      <c r="H82">
        <f t="shared" si="4"/>
        <v>0</v>
      </c>
      <c r="I82">
        <f t="shared" ref="I82:I84" si="37">IF(AND(H82&gt;-1,H82&lt;7),0,1)</f>
        <v>0</v>
      </c>
      <c r="J82" s="52">
        <f t="shared" si="34"/>
        <v>0</v>
      </c>
      <c r="L82">
        <f t="shared" si="15"/>
        <v>31</v>
      </c>
      <c r="M82">
        <f ca="1">data!K96</f>
        <v>0</v>
      </c>
      <c r="N82" s="57">
        <f t="shared" ca="1" si="35"/>
        <v>0</v>
      </c>
      <c r="O82" s="61">
        <f t="shared" ca="1" si="35"/>
        <v>0</v>
      </c>
      <c r="P82">
        <f t="shared" si="10"/>
        <v>50</v>
      </c>
      <c r="Q82">
        <v>1</v>
      </c>
      <c r="R82" t="str">
        <f t="shared" si="6"/>
        <v>0</v>
      </c>
      <c r="S82">
        <f t="shared" si="7"/>
        <v>0</v>
      </c>
      <c r="T82">
        <f t="shared" si="36"/>
        <v>0</v>
      </c>
      <c r="U82">
        <f>S82</f>
        <v>0</v>
      </c>
      <c r="V82">
        <f t="shared" si="12"/>
        <v>0</v>
      </c>
    </row>
    <row r="83" spans="1:22" x14ac:dyDescent="0.3">
      <c r="A83">
        <v>32</v>
      </c>
      <c r="B83">
        <f>IFERROR(MATCH(Options!L36,data!$C$99:$C$104,0),0)</f>
        <v>0</v>
      </c>
      <c r="C83" s="54">
        <f t="shared" si="32"/>
        <v>0</v>
      </c>
      <c r="D83" s="55">
        <f t="shared" si="32"/>
        <v>0</v>
      </c>
      <c r="E83">
        <f t="shared" si="8"/>
        <v>39</v>
      </c>
      <c r="F83">
        <v>1</v>
      </c>
      <c r="G83" s="55" t="str">
        <f t="shared" si="3"/>
        <v>0</v>
      </c>
      <c r="H83">
        <f t="shared" si="4"/>
        <v>0</v>
      </c>
      <c r="I83">
        <f t="shared" si="37"/>
        <v>0</v>
      </c>
      <c r="J83" s="52">
        <f t="shared" si="34"/>
        <v>0</v>
      </c>
      <c r="L83">
        <f t="shared" si="15"/>
        <v>32</v>
      </c>
      <c r="M83">
        <f>IF(data!H136,data!B155,0)</f>
        <v>0</v>
      </c>
      <c r="N83" s="57">
        <f t="shared" si="35"/>
        <v>0</v>
      </c>
      <c r="O83" s="61">
        <f t="shared" si="35"/>
        <v>0</v>
      </c>
      <c r="P83">
        <f t="shared" si="10"/>
        <v>51</v>
      </c>
      <c r="Q83">
        <v>1</v>
      </c>
      <c r="R83" t="str">
        <f t="shared" si="6"/>
        <v>0</v>
      </c>
      <c r="S83">
        <f t="shared" si="7"/>
        <v>0</v>
      </c>
      <c r="T83">
        <f>IF(OR(S83=0,S83=1,S83=2),0,1)</f>
        <v>0</v>
      </c>
      <c r="U83">
        <f>S83</f>
        <v>0</v>
      </c>
      <c r="V83">
        <f t="shared" si="12"/>
        <v>0</v>
      </c>
    </row>
    <row r="84" spans="1:22" x14ac:dyDescent="0.3">
      <c r="A84">
        <v>33</v>
      </c>
      <c r="B84">
        <f>IFERROR(MATCH(Options!L37,data!$C$99:$C$104,0),0)</f>
        <v>0</v>
      </c>
      <c r="C84" s="54">
        <f t="shared" si="32"/>
        <v>0</v>
      </c>
      <c r="D84" s="55">
        <f t="shared" si="32"/>
        <v>0</v>
      </c>
      <c r="E84">
        <f t="shared" si="8"/>
        <v>40</v>
      </c>
      <c r="F84">
        <v>1</v>
      </c>
      <c r="G84" s="55" t="str">
        <f t="shared" si="3"/>
        <v>0</v>
      </c>
      <c r="H84">
        <f t="shared" si="4"/>
        <v>0</v>
      </c>
      <c r="I84">
        <f t="shared" si="37"/>
        <v>0</v>
      </c>
      <c r="J84" s="52">
        <f t="shared" si="34"/>
        <v>0</v>
      </c>
      <c r="L84" t="s">
        <v>303</v>
      </c>
      <c r="O84" s="55"/>
      <c r="P84">
        <f t="shared" si="10"/>
        <v>52</v>
      </c>
      <c r="Q84">
        <v>3</v>
      </c>
      <c r="R84" t="str">
        <f t="shared" si="6"/>
        <v>098</v>
      </c>
      <c r="S84">
        <f t="shared" si="7"/>
        <v>98</v>
      </c>
      <c r="T84">
        <v>0</v>
      </c>
      <c r="U84" t="b">
        <f>SUM(S52:S83)=S84</f>
        <v>1</v>
      </c>
    </row>
    <row r="85" spans="1:22" x14ac:dyDescent="0.3">
      <c r="A85">
        <v>34</v>
      </c>
      <c r="B85">
        <f>IF(Options!F43=lngYES,1,0)</f>
        <v>0</v>
      </c>
      <c r="C85" s="54">
        <f t="shared" ref="C85" si="38">B85</f>
        <v>0</v>
      </c>
      <c r="D85" s="55">
        <f t="shared" ref="D85" si="39">C85</f>
        <v>0</v>
      </c>
      <c r="E85">
        <f t="shared" ref="E85:E86" si="40">F84+E84</f>
        <v>41</v>
      </c>
      <c r="F85">
        <v>1</v>
      </c>
      <c r="G85" s="55" t="str">
        <f t="shared" si="3"/>
        <v>0</v>
      </c>
      <c r="H85">
        <f t="shared" ref="H85" si="41">VALUE(G85)</f>
        <v>0</v>
      </c>
      <c r="I85">
        <f t="shared" ref="I85" si="42">IF(OR(H85=0,H85=1),0,1)</f>
        <v>0</v>
      </c>
      <c r="J85" s="52">
        <f t="shared" ref="J85" si="43">H85</f>
        <v>0</v>
      </c>
      <c r="L85" t="str">
        <f ca="1">CONCATENATE(N52,N53,N54,N55,N56,N57,N58,N59,N60,N61,N62,N63,N64,N65,N66,N67,N68,N69,N70,N71,N72,N73,N74,N75,N76,N77,N78,N79,N80,N81,N82,N83)</f>
        <v>040000000026000000000100000000290000000006020700000</v>
      </c>
      <c r="O85" s="55"/>
      <c r="P85">
        <f t="shared" si="10"/>
        <v>55</v>
      </c>
      <c r="Q85">
        <v>3</v>
      </c>
      <c r="R85" t="str">
        <f t="shared" si="6"/>
        <v>035</v>
      </c>
      <c r="S85">
        <f t="shared" si="7"/>
        <v>35</v>
      </c>
      <c r="T85" t="b">
        <f>SUM(T52:T84)=0</f>
        <v>1</v>
      </c>
      <c r="U85" t="b">
        <f>SUM(U52:U83)=S85</f>
        <v>1</v>
      </c>
    </row>
    <row r="86" spans="1:22" x14ac:dyDescent="0.3">
      <c r="A86">
        <v>35</v>
      </c>
      <c r="B86">
        <f>IF(Options!F46=$A$49,1,0)</f>
        <v>1</v>
      </c>
      <c r="C86" s="54">
        <f>B86</f>
        <v>1</v>
      </c>
      <c r="D86" s="55">
        <f>C86</f>
        <v>1</v>
      </c>
      <c r="E86">
        <f t="shared" si="40"/>
        <v>42</v>
      </c>
      <c r="F86">
        <v>1</v>
      </c>
      <c r="G86" s="55" t="str">
        <f t="shared" ref="G86:G94" si="44">MID($A$104,E86,F86)</f>
        <v>1</v>
      </c>
      <c r="H86">
        <f t="shared" ref="H86:H94" si="45">VALUE(G86)</f>
        <v>1</v>
      </c>
      <c r="I86">
        <f t="shared" ref="I86:I91" si="46">IF(OR(H86=0,H86=1),0,1)</f>
        <v>0</v>
      </c>
      <c r="J86" s="52">
        <f>H86</f>
        <v>1</v>
      </c>
      <c r="L86">
        <f ca="1">LEN(L85)</f>
        <v>51</v>
      </c>
      <c r="M86" t="str">
        <f ca="1">TEXT(SUM(M52:M83),"000")</f>
        <v>075</v>
      </c>
      <c r="N86" s="56" t="str">
        <f ca="1">TEXT(SUM(O52:O83),"000")</f>
        <v>039</v>
      </c>
      <c r="O86" s="55"/>
      <c r="P86">
        <f t="shared" si="10"/>
        <v>58</v>
      </c>
      <c r="Q86">
        <v>4</v>
      </c>
      <c r="R86" t="str">
        <f t="shared" si="6"/>
        <v>0000</v>
      </c>
      <c r="S86" s="111" t="s">
        <v>410</v>
      </c>
      <c r="T86" s="111" t="s">
        <v>411</v>
      </c>
      <c r="U86" s="112" t="s">
        <v>333</v>
      </c>
    </row>
    <row r="87" spans="1:22" x14ac:dyDescent="0.3">
      <c r="A87">
        <v>36</v>
      </c>
      <c r="B87">
        <f>IF(Options!F47=$A$49,1,0)</f>
        <v>0</v>
      </c>
      <c r="C87" s="54">
        <f>B87</f>
        <v>0</v>
      </c>
      <c r="D87" s="55">
        <f>C87</f>
        <v>0</v>
      </c>
      <c r="E87">
        <f t="shared" ref="E87:E96" si="47">F86+E86</f>
        <v>43</v>
      </c>
      <c r="F87">
        <v>1</v>
      </c>
      <c r="G87" s="55" t="str">
        <f t="shared" si="44"/>
        <v>0</v>
      </c>
      <c r="H87">
        <f t="shared" si="45"/>
        <v>0</v>
      </c>
      <c r="I87">
        <f t="shared" si="46"/>
        <v>0</v>
      </c>
      <c r="J87" s="52">
        <f>H87</f>
        <v>0</v>
      </c>
      <c r="L87" t="s">
        <v>300</v>
      </c>
      <c r="M87" t="s">
        <v>301</v>
      </c>
      <c r="N87" t="s">
        <v>302</v>
      </c>
      <c r="P87">
        <f t="shared" si="10"/>
        <v>62</v>
      </c>
      <c r="Q87">
        <v>5</v>
      </c>
      <c r="R87" t="str">
        <f t="shared" si="6"/>
        <v>0.1</v>
      </c>
      <c r="S87" s="110" t="b">
        <f>AND(U84,T85,U85,T87,U87,O95)</f>
        <v>1</v>
      </c>
      <c r="T87" t="b">
        <f>ISERROR(MATCH(R87,$A$111:$A$114,0))=FALSE</f>
        <v>1</v>
      </c>
      <c r="U87" t="b">
        <f>IFERROR(INDEX($B$111:$E$114,MATCH(R87,$A$111:$A$114,0),MATCH(progVERSION,$B$110:$E$110,0))=1,FALSE)</f>
        <v>1</v>
      </c>
    </row>
    <row r="88" spans="1:22" x14ac:dyDescent="0.3">
      <c r="A88">
        <v>37</v>
      </c>
      <c r="B88">
        <f>Options!F48</f>
        <v>10</v>
      </c>
      <c r="C88" s="54" t="str">
        <f>TEXT(B88,"000")</f>
        <v>010</v>
      </c>
      <c r="D88" s="55">
        <f>VALUE(LEFT(C88,1))+VALUE(RIGHT(C88,1))+VALUE(MID(C88,2,1))</f>
        <v>1</v>
      </c>
      <c r="E88">
        <f t="shared" si="47"/>
        <v>44</v>
      </c>
      <c r="F88">
        <v>3</v>
      </c>
      <c r="G88" s="55" t="str">
        <f t="shared" si="44"/>
        <v>010</v>
      </c>
      <c r="H88">
        <f t="shared" si="45"/>
        <v>10</v>
      </c>
      <c r="I88">
        <f>IF(AND(H88&gt;-1,H88&lt;101),0,1)</f>
        <v>0</v>
      </c>
      <c r="J88" s="52">
        <f>VALUE(LEFT(G88,1))+VALUE(RIGHT(G88,1))+VALUE(MID(G88,2,1))</f>
        <v>1</v>
      </c>
      <c r="L88" t="s">
        <v>299</v>
      </c>
      <c r="N88" s="56"/>
    </row>
    <row r="89" spans="1:22" x14ac:dyDescent="0.3">
      <c r="A89">
        <v>38</v>
      </c>
      <c r="B89">
        <f>IF(Options!F51=$A$49,1,0)</f>
        <v>1</v>
      </c>
      <c r="C89" s="54">
        <f>B89</f>
        <v>1</v>
      </c>
      <c r="D89" s="55">
        <f>C89</f>
        <v>1</v>
      </c>
      <c r="E89">
        <f t="shared" si="47"/>
        <v>47</v>
      </c>
      <c r="F89">
        <v>1</v>
      </c>
      <c r="G89" s="55" t="str">
        <f t="shared" si="44"/>
        <v>1</v>
      </c>
      <c r="H89">
        <f t="shared" si="45"/>
        <v>1</v>
      </c>
      <c r="I89">
        <f t="shared" si="46"/>
        <v>0</v>
      </c>
      <c r="J89" s="52">
        <f>H89</f>
        <v>1</v>
      </c>
      <c r="L89" t="str">
        <f ca="1">L85&amp;M86&amp;N86&amp;"0000"&amp;data!E11</f>
        <v>04000000002600000000010000000029000000000602070000007503900000.1</v>
      </c>
      <c r="N89" s="56"/>
    </row>
    <row r="90" spans="1:22" x14ac:dyDescent="0.3">
      <c r="A90">
        <v>39</v>
      </c>
      <c r="B90">
        <f>Options!F52</f>
        <v>10</v>
      </c>
      <c r="C90" s="54" t="str">
        <f>TEXT(B90,"000")</f>
        <v>010</v>
      </c>
      <c r="D90" s="55">
        <f>VALUE(LEFT(C90,1))+VALUE(RIGHT(C90,1))+VALUE(MID(C90,2,1))</f>
        <v>1</v>
      </c>
      <c r="E90">
        <f t="shared" si="47"/>
        <v>48</v>
      </c>
      <c r="F90">
        <v>3</v>
      </c>
      <c r="G90" s="55" t="str">
        <f t="shared" si="44"/>
        <v>010</v>
      </c>
      <c r="H90">
        <f t="shared" si="45"/>
        <v>10</v>
      </c>
      <c r="I90">
        <f>IF(AND(H90&gt;-1,H90&lt;101),0,1)</f>
        <v>0</v>
      </c>
      <c r="J90" s="52">
        <f>VALUE(LEFT(G90,1))+VALUE(RIGHT(G90,1))+VALUE(MID(G90,2,1))</f>
        <v>1</v>
      </c>
      <c r="L90">
        <f ca="1">LEN(L89)</f>
        <v>64</v>
      </c>
      <c r="N90" s="56"/>
    </row>
    <row r="91" spans="1:22" x14ac:dyDescent="0.3">
      <c r="A91">
        <v>40</v>
      </c>
      <c r="B91">
        <f>IF(Options!F55=$A$49,1,0)</f>
        <v>1</v>
      </c>
      <c r="C91" s="54">
        <f>B91</f>
        <v>1</v>
      </c>
      <c r="D91" s="55">
        <f>C91</f>
        <v>1</v>
      </c>
      <c r="E91">
        <f t="shared" si="47"/>
        <v>51</v>
      </c>
      <c r="F91">
        <v>1</v>
      </c>
      <c r="G91" s="55" t="str">
        <f t="shared" si="44"/>
        <v>1</v>
      </c>
      <c r="H91">
        <f t="shared" si="45"/>
        <v>1</v>
      </c>
      <c r="I91">
        <f t="shared" si="46"/>
        <v>0</v>
      </c>
      <c r="J91" s="52">
        <f>H91</f>
        <v>1</v>
      </c>
      <c r="L91" t="s">
        <v>300</v>
      </c>
      <c r="N91" s="56"/>
    </row>
    <row r="92" spans="1:22" x14ac:dyDescent="0.3">
      <c r="A92">
        <v>41</v>
      </c>
      <c r="B92">
        <f>Options!F56</f>
        <v>10</v>
      </c>
      <c r="C92" s="54" t="str">
        <f>TEXT(B92,"000")</f>
        <v>010</v>
      </c>
      <c r="D92" s="55">
        <f>VALUE(LEFT(C92,1))+VALUE(RIGHT(C92,1))+VALUE(MID(C92,2,1))</f>
        <v>1</v>
      </c>
      <c r="E92">
        <f t="shared" si="47"/>
        <v>52</v>
      </c>
      <c r="F92">
        <v>3</v>
      </c>
      <c r="G92" s="55" t="str">
        <f t="shared" si="44"/>
        <v>010</v>
      </c>
      <c r="H92">
        <f t="shared" si="45"/>
        <v>10</v>
      </c>
      <c r="I92">
        <f>IF(AND(H92&gt;-1,H92&lt;101),0,1)</f>
        <v>0</v>
      </c>
      <c r="J92" s="52">
        <f>VALUE(LEFT(G92,1))+VALUE(RIGHT(G92,1))+VALUE(MID(G92,2,1))</f>
        <v>1</v>
      </c>
      <c r="N92" s="56"/>
    </row>
    <row r="93" spans="1:22" x14ac:dyDescent="0.3">
      <c r="A93" t="s">
        <v>303</v>
      </c>
      <c r="E93">
        <f t="shared" si="47"/>
        <v>55</v>
      </c>
      <c r="F93">
        <v>3</v>
      </c>
      <c r="G93" s="55" t="str">
        <f t="shared" si="44"/>
        <v>037</v>
      </c>
      <c r="H93">
        <f t="shared" si="45"/>
        <v>37</v>
      </c>
      <c r="I93">
        <v>0</v>
      </c>
      <c r="L93" s="27" t="s">
        <v>414</v>
      </c>
      <c r="N93" s="56"/>
      <c r="O93" s="30"/>
    </row>
    <row r="94" spans="1:22" x14ac:dyDescent="0.3">
      <c r="A94" t="str">
        <f>CONCATENATE(C52,C53,C54,C55,C56,C57,C58,C59,C60,C61,C62,C63,C64,C65,C66,C67,C68,C69,C70,C71,C72,C73,C74,C75,C76,C77,C78,C79,C80,C81,C82,C83,C84,C85,C86,C87,C88,C89,C90,C91,C92)</f>
        <v>000001000000000000110000000000000010000001001010101010</v>
      </c>
      <c r="E94">
        <f t="shared" si="47"/>
        <v>58</v>
      </c>
      <c r="F94">
        <v>3</v>
      </c>
      <c r="G94" s="55" t="str">
        <f t="shared" si="44"/>
        <v>010</v>
      </c>
      <c r="H94">
        <f t="shared" si="45"/>
        <v>10</v>
      </c>
      <c r="J94" t="b">
        <f>SUM(H52:H92)=H93</f>
        <v>1</v>
      </c>
      <c r="L94" s="27" t="s">
        <v>415</v>
      </c>
      <c r="M94" s="27" t="s">
        <v>416</v>
      </c>
      <c r="N94" s="27" t="s">
        <v>417</v>
      </c>
      <c r="O94" s="31" t="s">
        <v>418</v>
      </c>
    </row>
    <row r="95" spans="1:22" x14ac:dyDescent="0.3">
      <c r="A95">
        <f>LEN(A94)</f>
        <v>54</v>
      </c>
      <c r="B95" t="str">
        <f>TEXT(SUM(B52:B92),"000")</f>
        <v>037</v>
      </c>
      <c r="C95" s="56" t="str">
        <f>TEXT(SUM(D52:D92),"000")</f>
        <v>010</v>
      </c>
      <c r="E95">
        <f t="shared" si="47"/>
        <v>61</v>
      </c>
      <c r="F95">
        <v>1</v>
      </c>
      <c r="G95" s="55" t="str">
        <f>MID($A$104,E95,F95)</f>
        <v>0</v>
      </c>
      <c r="I95" t="b">
        <f>SUM(I52:I93)=0</f>
        <v>1</v>
      </c>
      <c r="J95" t="b">
        <f>SUM(J52:J92)=H94</f>
        <v>1</v>
      </c>
      <c r="L95">
        <f>IF(AND(SUM(V55:V57)&gt;0,OR(V52&gt;12,V52&lt;9)),1,0)</f>
        <v>0</v>
      </c>
      <c r="M95">
        <f>IF(SUM(V53,V59,V65,V71)&gt;2,1,0)</f>
        <v>0</v>
      </c>
      <c r="N95">
        <f>IF(OR(SUM(V54,V60,V66,V72)=0,SUM(V54,V60,V66,V72)=4),0,1)</f>
        <v>0</v>
      </c>
      <c r="O95" t="b">
        <f>SUM(L95:N98)=0</f>
        <v>1</v>
      </c>
    </row>
    <row r="96" spans="1:22" x14ac:dyDescent="0.3">
      <c r="A96" t="s">
        <v>300</v>
      </c>
      <c r="B96" t="s">
        <v>301</v>
      </c>
      <c r="C96" t="s">
        <v>302</v>
      </c>
      <c r="E96">
        <f t="shared" si="47"/>
        <v>62</v>
      </c>
      <c r="F96">
        <v>3</v>
      </c>
      <c r="G96" s="55" t="str">
        <f>MID($A$104,E96,F96)</f>
        <v>0.1</v>
      </c>
      <c r="H96" s="110" t="b">
        <f>IFERROR(AND(J94,I95,J95,I96,J96),FALSE)</f>
        <v>1</v>
      </c>
      <c r="I96" t="b">
        <f>ISERROR(MATCH(G96,$A$111:$A$114,0))=FALSE</f>
        <v>1</v>
      </c>
      <c r="J96" t="b">
        <f>IFERROR(INDEX($B$111:$E$114,MATCH(G96,$A$111:$A$114,0),MATCH(progVERSION,$B$110:$E$110,0))=1,FALSE)</f>
        <v>1</v>
      </c>
      <c r="L96">
        <f>IF(AND(SUM(V61:V63)&gt;0,OR(V58&gt;12,V58&lt;9)),1,0)</f>
        <v>0</v>
      </c>
    </row>
    <row r="97" spans="1:20" x14ac:dyDescent="0.3">
      <c r="A97" t="s">
        <v>299</v>
      </c>
      <c r="L97">
        <f>IF(AND(SUM(V67:V69)&gt;0,OR(V64&gt;12,V64&lt;9)),1,0)</f>
        <v>0</v>
      </c>
    </row>
    <row r="98" spans="1:20" x14ac:dyDescent="0.3">
      <c r="A98" t="str">
        <f>A94&amp;B95&amp;C95&amp;"0"&amp;data!E11</f>
        <v>00000100000000000011000000000000001000000100101010101003701000.1</v>
      </c>
      <c r="L98">
        <f>IF(AND(SUM(V73:V75)&gt;0,OR(V70&gt;12,V70&lt;9)),1,0)</f>
        <v>0</v>
      </c>
    </row>
    <row r="99" spans="1:20" x14ac:dyDescent="0.3">
      <c r="A99">
        <f>LEN(A98)</f>
        <v>64</v>
      </c>
    </row>
    <row r="100" spans="1:20" x14ac:dyDescent="0.3">
      <c r="A100" t="s">
        <v>300</v>
      </c>
      <c r="C100" s="54"/>
      <c r="D100" s="55"/>
    </row>
    <row r="101" spans="1:20" x14ac:dyDescent="0.3">
      <c r="C101" s="54"/>
      <c r="D101" s="55"/>
    </row>
    <row r="102" spans="1:20" x14ac:dyDescent="0.3">
      <c r="C102" s="54"/>
      <c r="D102" s="55"/>
    </row>
    <row r="103" spans="1:20" ht="21" x14ac:dyDescent="0.4">
      <c r="A103" s="201" t="s">
        <v>350</v>
      </c>
      <c r="B103" s="201"/>
      <c r="C103" s="201"/>
      <c r="D103" s="201"/>
      <c r="E103" s="201"/>
      <c r="F103" s="201"/>
      <c r="G103" s="201"/>
      <c r="H103" s="201"/>
      <c r="I103" s="113"/>
      <c r="L103" s="201" t="s">
        <v>351</v>
      </c>
      <c r="M103" s="201"/>
      <c r="N103" s="201"/>
      <c r="O103" s="201"/>
      <c r="P103" s="201"/>
      <c r="Q103" s="201"/>
      <c r="R103" s="201"/>
      <c r="S103" s="201"/>
      <c r="T103" s="113"/>
    </row>
    <row r="104" spans="1:20" x14ac:dyDescent="0.3">
      <c r="A104" s="202" t="str">
        <f>A106</f>
        <v>00000100000000000011000000000000001000000100101010101003701000.1</v>
      </c>
      <c r="B104" s="202"/>
      <c r="C104" s="202"/>
      <c r="D104" s="202"/>
      <c r="E104" s="202"/>
      <c r="F104" s="202"/>
      <c r="G104" s="202"/>
      <c r="H104" s="202"/>
      <c r="I104" s="68"/>
      <c r="L104" s="202" t="str">
        <f>L106</f>
        <v>04000000000800000000300000000031000000001007080000009803500000.1</v>
      </c>
      <c r="M104" s="202"/>
      <c r="N104" s="202"/>
      <c r="O104" s="202"/>
      <c r="P104" s="202"/>
      <c r="Q104" s="202"/>
      <c r="R104" s="202"/>
      <c r="S104" s="202"/>
      <c r="T104" s="68"/>
    </row>
    <row r="105" spans="1:20" s="27" customFormat="1" x14ac:dyDescent="0.3">
      <c r="A105" s="68"/>
      <c r="B105" s="68"/>
      <c r="C105" s="68"/>
      <c r="D105" s="68"/>
      <c r="E105" s="68"/>
      <c r="F105" s="68"/>
      <c r="G105" s="68"/>
      <c r="H105" s="68"/>
      <c r="I105" s="68"/>
      <c r="L105" s="68"/>
      <c r="M105" s="68"/>
      <c r="N105" s="68"/>
      <c r="O105" s="68"/>
      <c r="P105" s="68"/>
      <c r="Q105" s="68"/>
      <c r="R105" s="68"/>
      <c r="S105" s="68"/>
      <c r="T105" s="68"/>
    </row>
    <row r="106" spans="1:20" x14ac:dyDescent="0.3">
      <c r="A106" t="s">
        <v>586</v>
      </c>
      <c r="L106" s="67" t="s">
        <v>685</v>
      </c>
    </row>
    <row r="107" spans="1:20" x14ac:dyDescent="0.3">
      <c r="K107" t="s">
        <v>580</v>
      </c>
      <c r="L107" t="s">
        <v>585</v>
      </c>
    </row>
    <row r="109" spans="1:20" x14ac:dyDescent="0.3">
      <c r="A109" t="s">
        <v>407</v>
      </c>
      <c r="D109" t="s">
        <v>408</v>
      </c>
    </row>
    <row r="110" spans="1:20" x14ac:dyDescent="0.3">
      <c r="A110" t="s">
        <v>409</v>
      </c>
      <c r="B110" s="110" t="s">
        <v>583</v>
      </c>
      <c r="C110" s="110"/>
      <c r="D110" s="110"/>
      <c r="E110" s="110"/>
    </row>
    <row r="111" spans="1:20" x14ac:dyDescent="0.3">
      <c r="A111" s="15" t="s">
        <v>583</v>
      </c>
      <c r="B111" s="3">
        <v>1</v>
      </c>
      <c r="C111" s="3"/>
      <c r="D111" s="3"/>
      <c r="E111" s="3"/>
    </row>
    <row r="112" spans="1:20" x14ac:dyDescent="0.3">
      <c r="A112" s="15"/>
      <c r="B112" s="3"/>
      <c r="C112" s="3"/>
      <c r="D112" s="3"/>
      <c r="E112" s="3"/>
    </row>
    <row r="113" spans="1:5" x14ac:dyDescent="0.3">
      <c r="A113" s="15"/>
      <c r="B113" s="3"/>
      <c r="C113" s="3"/>
      <c r="D113" s="3"/>
      <c r="E113" s="3"/>
    </row>
    <row r="114" spans="1:5" x14ac:dyDescent="0.3">
      <c r="A114" s="15"/>
      <c r="B114" s="3"/>
      <c r="C114" s="3"/>
      <c r="D114" s="3"/>
      <c r="E114" s="3"/>
    </row>
    <row r="117" spans="1:5" x14ac:dyDescent="0.3">
      <c r="A117" t="s">
        <v>442</v>
      </c>
      <c r="B117">
        <v>1</v>
      </c>
      <c r="C117">
        <v>2</v>
      </c>
    </row>
    <row r="118" spans="1:5" x14ac:dyDescent="0.3">
      <c r="A118" s="29">
        <f>H62</f>
        <v>0</v>
      </c>
      <c r="B118" t="e">
        <f>INDEX(data!$B$15:$C$38,MATCH($A118,data!$A$15:$A$38,0),B$117)</f>
        <v>#N/A</v>
      </c>
      <c r="C118" t="e">
        <f>INDEX(data!$B$15:$C$38,MATCH($A118,data!$A$15:$A$38,0),C$117)</f>
        <v>#N/A</v>
      </c>
    </row>
    <row r="119" spans="1:5" x14ac:dyDescent="0.3">
      <c r="A119" s="29">
        <f t="shared" ref="A119:A121" si="48">H63</f>
        <v>0</v>
      </c>
      <c r="B119" t="e">
        <f>INDEX(data!$B$15:$C$38,MATCH($A119,data!$A$15:$A$38,0),B$117)</f>
        <v>#N/A</v>
      </c>
      <c r="C119" t="e">
        <f>INDEX(data!$B$15:$C$38,MATCH($A119,data!$A$15:$A$38,0),C$117)</f>
        <v>#N/A</v>
      </c>
    </row>
    <row r="120" spans="1:5" x14ac:dyDescent="0.3">
      <c r="A120" s="29">
        <f t="shared" si="48"/>
        <v>0</v>
      </c>
      <c r="B120" t="e">
        <f>INDEX(data!$B$15:$C$38,MATCH($A120,data!$A$15:$A$38,0),B$117)</f>
        <v>#N/A</v>
      </c>
      <c r="C120" t="e">
        <f>INDEX(data!$B$15:$C$38,MATCH($A120,data!$A$15:$A$38,0),C$117)</f>
        <v>#N/A</v>
      </c>
    </row>
    <row r="121" spans="1:5" x14ac:dyDescent="0.3">
      <c r="A121" s="29">
        <f t="shared" si="48"/>
        <v>0</v>
      </c>
      <c r="B121" t="e">
        <f>INDEX(data!$B$15:$C$38,MATCH($A121,data!$A$15:$A$38,0),B$117)</f>
        <v>#N/A</v>
      </c>
      <c r="C121" t="e">
        <f>INDEX(data!$B$15:$C$38,MATCH($A121,data!$A$15:$A$38,0),C$117)</f>
        <v>#N/A</v>
      </c>
    </row>
    <row r="122" spans="1:5" x14ac:dyDescent="0.3">
      <c r="A122" s="120">
        <f>H76</f>
        <v>0</v>
      </c>
      <c r="B122" t="e">
        <f>INDEX(data!$B$60:$C$84,MATCH($A122,data!$A$60:$A$84,0),B$117)</f>
        <v>#N/A</v>
      </c>
      <c r="C122" t="e">
        <f>INDEX(data!$B$60:$C$84,MATCH($A122,data!$A$60:$A$84,0),C$117)</f>
        <v>#N/A</v>
      </c>
    </row>
    <row r="123" spans="1:5" x14ac:dyDescent="0.3">
      <c r="A123" s="120">
        <f t="shared" ref="A123:A124" si="49">H77</f>
        <v>0</v>
      </c>
      <c r="B123" t="e">
        <f>INDEX(data!$B$60:$C$84,MATCH($A123,data!$A$60:$A$84,0),B$117)</f>
        <v>#N/A</v>
      </c>
      <c r="C123" t="e">
        <f>INDEX(data!$B$60:$C$84,MATCH($A123,data!$A$60:$A$84,0),C$117)</f>
        <v>#N/A</v>
      </c>
    </row>
    <row r="124" spans="1:5" x14ac:dyDescent="0.3">
      <c r="A124" s="120">
        <f t="shared" si="49"/>
        <v>0</v>
      </c>
      <c r="B124" t="e">
        <f>INDEX(data!$B$60:$C$84,MATCH($A124,data!$A$60:$A$84,0),B$117)</f>
        <v>#N/A</v>
      </c>
      <c r="C124" t="e">
        <f>INDEX(data!$B$60:$C$84,MATCH($A124,data!$A$60:$A$84,0),C$117)</f>
        <v>#N/A</v>
      </c>
    </row>
    <row r="125" spans="1:5" x14ac:dyDescent="0.3">
      <c r="A125" s="25">
        <f>H81</f>
        <v>0</v>
      </c>
      <c r="B125" t="e">
        <f>INDEX(data!$C$99:$C$104,MATCH($A125,data!$A$99:$A$104,0),B$117)</f>
        <v>#N/A</v>
      </c>
    </row>
    <row r="126" spans="1:5" x14ac:dyDescent="0.3">
      <c r="A126" s="25">
        <f t="shared" ref="A126:A128" si="50">H82</f>
        <v>0</v>
      </c>
      <c r="B126" t="e">
        <f>INDEX(data!$C$99:$C$104,MATCH($A126,data!$A$99:$A$104,0),B$117)</f>
        <v>#N/A</v>
      </c>
    </row>
    <row r="127" spans="1:5" x14ac:dyDescent="0.3">
      <c r="A127" s="25">
        <f t="shared" si="50"/>
        <v>0</v>
      </c>
      <c r="B127" t="e">
        <f>INDEX(data!$C$99:$C$104,MATCH($A127,data!$A$99:$A$104,0),B$117)</f>
        <v>#N/A</v>
      </c>
    </row>
    <row r="128" spans="1:5" x14ac:dyDescent="0.3">
      <c r="A128" s="25">
        <f t="shared" si="50"/>
        <v>0</v>
      </c>
      <c r="B128" t="e">
        <f>INDEX(data!$C$99:$C$104,MATCH($A128,data!$A$99:$A$104,0),B$117)</f>
        <v>#N/A</v>
      </c>
    </row>
    <row r="148" spans="3:3" x14ac:dyDescent="0.3">
      <c r="C148" s="56"/>
    </row>
    <row r="149" spans="3:3" x14ac:dyDescent="0.3">
      <c r="C149" s="56"/>
    </row>
    <row r="150" spans="3:3" x14ac:dyDescent="0.3">
      <c r="C150" s="56"/>
    </row>
  </sheetData>
  <mergeCells count="11">
    <mergeCell ref="A103:H103"/>
    <mergeCell ref="L103:S103"/>
    <mergeCell ref="L104:S104"/>
    <mergeCell ref="A104:H104"/>
    <mergeCell ref="H1:N1"/>
    <mergeCell ref="A50:F50"/>
    <mergeCell ref="L50:Q50"/>
    <mergeCell ref="A1:F1"/>
    <mergeCell ref="F18:F29"/>
    <mergeCell ref="F3:F17"/>
    <mergeCell ref="R50:T50"/>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E315"/>
  <sheetViews>
    <sheetView workbookViewId="0">
      <selection activeCell="V83" sqref="V83"/>
    </sheetView>
  </sheetViews>
  <sheetFormatPr defaultRowHeight="14.4" x14ac:dyDescent="0.3"/>
  <cols>
    <col min="16" max="16" width="3.33203125" customWidth="1"/>
    <col min="18" max="18" width="51.44140625" customWidth="1"/>
    <col min="19" max="19" width="13.21875" customWidth="1"/>
  </cols>
  <sheetData>
    <row r="1" spans="1:31" x14ac:dyDescent="0.3">
      <c r="A1" s="23" t="s">
        <v>110</v>
      </c>
      <c r="B1" s="207" t="s">
        <v>117</v>
      </c>
      <c r="C1" s="208"/>
      <c r="D1" s="208"/>
      <c r="E1" s="209"/>
      <c r="F1" s="219" t="s">
        <v>118</v>
      </c>
      <c r="G1" s="219"/>
      <c r="H1" s="211" t="s">
        <v>119</v>
      </c>
      <c r="I1" s="211"/>
      <c r="J1" s="211"/>
      <c r="K1" s="211"/>
      <c r="L1" t="s">
        <v>129</v>
      </c>
      <c r="Q1" t="s">
        <v>141</v>
      </c>
      <c r="R1" s="38">
        <f>SUM(Q2:Q12)</f>
        <v>0</v>
      </c>
      <c r="V1">
        <f>Options!AB1</f>
        <v>1</v>
      </c>
      <c r="W1" t="str">
        <f>INDEX(lang!124:124,1,LNG)</f>
        <v>ON</v>
      </c>
      <c r="X1" t="s">
        <v>343</v>
      </c>
      <c r="Y1" t="str">
        <f>INDEX(lang!124:124,1,$V$1)</f>
        <v>ON</v>
      </c>
    </row>
    <row r="2" spans="1:31" x14ac:dyDescent="0.3">
      <c r="A2" s="24" t="str">
        <f>W7</f>
        <v>none</v>
      </c>
      <c r="B2" s="24" t="s">
        <v>115</v>
      </c>
      <c r="C2" s="24" t="s">
        <v>112</v>
      </c>
      <c r="D2" s="24" t="s">
        <v>114</v>
      </c>
      <c r="E2" s="24" t="s">
        <v>113</v>
      </c>
      <c r="F2" s="37" t="s">
        <v>142</v>
      </c>
      <c r="G2" s="36" t="s">
        <v>143</v>
      </c>
      <c r="H2" s="25">
        <v>1</v>
      </c>
      <c r="I2" s="25">
        <v>2</v>
      </c>
      <c r="J2" s="25">
        <v>3</v>
      </c>
      <c r="K2" s="25">
        <v>4</v>
      </c>
      <c r="L2" t="str">
        <f>"'data'!A2"</f>
        <v>'data'!A2</v>
      </c>
      <c r="Q2" s="3">
        <f>data!C10</f>
        <v>0</v>
      </c>
      <c r="R2" s="3" t="str">
        <f>INDEX(lang!142:142,1,LNG)&amp;" "&amp;IF(data!D8=0,"",data!D8&amp;" "&amp;INDEX(lang!143:143,1,LNG))&amp;IF(AND(data!D8&lt;&gt;0,data!E8&lt;&gt;0)," "&amp;INDEX(lang!149:149,1,LNG)&amp;" ","")&amp;IF(data!E8=0,"",data!E8&amp;" "&amp;INDEX(lang!144:144,1,LNG))&amp;IF(AND(data!D8=0,data!E8=0),INDEX(lang!145:145,1,LNG),"")&amp;")"</f>
        <v>You need to choose exactly 4 maps to be forced or used in an exact quantity or choose at least one set to use random maps from. (Currently chosen: nothing)</v>
      </c>
      <c r="S2" t="str">
        <f>IF(Q2=0,"",R2&amp;IF(SUM(Q3:$Q$12)&gt;0,CHAR(10),""))</f>
        <v/>
      </c>
      <c r="W2" t="str">
        <f>INDEX(lang!125:125,1,LNG)</f>
        <v>OFF</v>
      </c>
      <c r="X2" t="s">
        <v>344</v>
      </c>
      <c r="Y2" t="str">
        <f>INDEX(lang!125:125,1,$V$1)</f>
        <v>OFF</v>
      </c>
      <c r="AB2">
        <v>1</v>
      </c>
      <c r="AC2">
        <v>2</v>
      </c>
      <c r="AD2">
        <v>3</v>
      </c>
      <c r="AE2">
        <v>4</v>
      </c>
    </row>
    <row r="3" spans="1:31" x14ac:dyDescent="0.3">
      <c r="A3" s="24" t="str">
        <f>INDEX(lang!5:5,1,LNG)</f>
        <v>Base</v>
      </c>
      <c r="B3" s="24">
        <v>8</v>
      </c>
      <c r="C3" s="29">
        <f>IF(Options!D10=lngYES,1,0)</f>
        <v>1</v>
      </c>
      <c r="D3" s="24">
        <f>COUNTIFS($B$15:$B$38,A3,$E$15:$E$38,"&gt;0")</f>
        <v>0</v>
      </c>
      <c r="E3" s="29">
        <f>Options!D9</f>
        <v>0</v>
      </c>
      <c r="F3" s="36">
        <f>IF(C3*E3&lt;&gt;0,1,0)</f>
        <v>0</v>
      </c>
      <c r="G3" s="36">
        <f>IF(E3+D3&gt;B3,1,0)</f>
        <v>0</v>
      </c>
      <c r="H3" s="25">
        <f>IF(E3=0,0,1)*IF(H$10=0,1,0)</f>
        <v>0</v>
      </c>
      <c r="I3" s="25">
        <f>IF(H3&gt;0,IF(SUM($H3:H3)=$E3,0,1),0)*IF(I$10=0,1,0)</f>
        <v>0</v>
      </c>
      <c r="J3" s="25">
        <f>IF(I3&gt;0,IF(SUM($H3:I3)=$E3,0,1),0)*IF(J$10=0,1,0)</f>
        <v>0</v>
      </c>
      <c r="K3" s="25">
        <f>IF(J3&gt;0,IF(SUM($H3:J3)=$E3,0,1),0)*IF(K$10=0,1,0)</f>
        <v>0</v>
      </c>
      <c r="L3" t="str">
        <f>"'data'!C15:C22"</f>
        <v>'data'!C15:C22</v>
      </c>
      <c r="Q3" s="3">
        <f>data!C9</f>
        <v>0</v>
      </c>
      <c r="R3" s="3" t="str">
        <f>INDEX(lang!146:146,1,LNG)&amp;" "&amp;IF(data!D8=0,"",data!D8&amp;" "&amp;INDEX(lang!143:143,1,LNG))&amp;IF(AND(data!D8&lt;&gt;0,data!E8&lt;&gt;0)," "&amp;INDEX(lang!149:149,1,LNG)&amp;" ","")&amp;IF(data!E8=0,"",data!E8&amp;" "&amp;INDEX(lang!144:144,1,LNG))&amp;IF(AND(data!D8=0,data!E8=0),INDEX(lang!145:145,1,LNG),"")&amp;")"</f>
        <v>You can only choose up to 4 maps to force and/or use an exact number of. (Currently chosen: nothing)</v>
      </c>
      <c r="S3" t="str">
        <f>IF(Q3=0,"",R3&amp;IF(SUM(Q4:$Q$12)&gt;0,CHAR(10),""))</f>
        <v/>
      </c>
      <c r="AA3" s="24" t="str">
        <f>A3</f>
        <v>Base</v>
      </c>
      <c r="AB3" s="124" t="str">
        <f>"'data'!Y23:Y"&amp;TEXT(23+MAX(X15:X22)-1,"0")</f>
        <v>'data'!Y23:Y30</v>
      </c>
      <c r="AC3" s="124" t="str">
        <f>"'data'!AA23:AA"&amp;TEXT(23+MAX(Z15:Z22)-1,"0")</f>
        <v>'data'!AA23:AA30</v>
      </c>
      <c r="AD3" s="124" t="str">
        <f>"'data'!AC23:AC"&amp;TEXT(23+MAX(AB15:AB22)-1,"0")</f>
        <v>'data'!AC23:AC30</v>
      </c>
      <c r="AE3" s="124" t="str">
        <f>"'data'!AE23:AE"&amp;TEXT(23+MAX(AD15:AD22)-1,"0")</f>
        <v>'data'!AE23:AE30</v>
      </c>
    </row>
    <row r="4" spans="1:31" x14ac:dyDescent="0.3">
      <c r="A4" s="24" t="str">
        <f>INDEX(lang!6:6,1,LNG)</f>
        <v>Nomads</v>
      </c>
      <c r="B4" s="24">
        <v>4</v>
      </c>
      <c r="C4" s="29">
        <f>IF(Options!E10=lngYES,1,0)</f>
        <v>0</v>
      </c>
      <c r="D4" s="24">
        <f>COUNTIFS($B$15:$B$38,A4,$E$15:$E$38,"&gt;0")</f>
        <v>0</v>
      </c>
      <c r="E4" s="29">
        <f>Options!E9</f>
        <v>0</v>
      </c>
      <c r="F4" s="36">
        <f>IF(C4*E4&lt;&gt;0,1,0)</f>
        <v>0</v>
      </c>
      <c r="G4" s="36">
        <f>IF(E4+D4&gt;B4,1,0)</f>
        <v>0</v>
      </c>
      <c r="H4" s="25">
        <f>IF(SUM(H$3:H3)=0,IF(E4=0,0,1),0)*IF(H$10=0,1,0)</f>
        <v>0</v>
      </c>
      <c r="I4" s="25">
        <f>IF(AND(SUM($H$3:I3)=SUM($E$3:$E3),SUM(I$3:I3)=0),IF(SUM($H4:H4)&gt;0,IF(SUM($H4:H4)=$E4,0,1),IF($E4=0,0,1)),0)*IF(I$10=0,1,0)</f>
        <v>0</v>
      </c>
      <c r="J4" s="25">
        <f>IF(AND(SUM($H$3:J3)=SUM($E$3:$E3),SUM(J$3:J3)=0),IF(SUM($H4:I4)&gt;0,IF(SUM($H4:I4)=$E4,0,1),IF($E4=0,0,1)),0)*IF(J$10=0,1,0)</f>
        <v>0</v>
      </c>
      <c r="K4" s="25">
        <f>IF(AND(SUM($H$3:K3)=SUM($E$3:$E3),SUM(K$3:K3)=0),IF(SUM($H4:J4)&gt;0,IF(SUM($H4:J4)=$E4,0,1),IF($E4=0,0,1)),0)*IF(K$10=0,1,0)</f>
        <v>0</v>
      </c>
      <c r="L4" t="str">
        <f>"'data'!C23:C26"</f>
        <v>'data'!C23:C26</v>
      </c>
      <c r="Q4" s="3">
        <f>data!C55</f>
        <v>0</v>
      </c>
      <c r="R4" s="3" t="str">
        <f>INDEX(lang!147:147,1,LNG)&amp;" "&amp;IF(data!D53=0,"",data!D53&amp;" "&amp;INDEX(lang!143:143,1,LNG))&amp;IF(AND(data!D53&lt;&gt;0,data!E53&lt;&gt;0)," "&amp;INDEX(lang!149:149,1,LNG)&amp;" ","")&amp;IF(data!E53=0,"",data!E53&amp;" "&amp;INDEX(lang!144:144,1,LNG))&amp;IF(AND(data!D53=0,data!E53=0),INDEX(lang!145:145,1,LNG),"")&amp;")"</f>
        <v>You need to choose exactly 3 Kingdom Builder cards to be forced or used in an exact quantity or choose at least one set to use random Kingdom Builder cards from. (Currently chosen: nothing)</v>
      </c>
      <c r="S4" t="str">
        <f>IF(Q4=0,"",R4&amp;IF(SUM(Q5:$Q$12)&gt;0,CHAR(10),""))</f>
        <v/>
      </c>
      <c r="W4" t="str">
        <f>INDEX(lang!108:108,1,LNG)</f>
        <v>yes</v>
      </c>
      <c r="X4" t="s">
        <v>130</v>
      </c>
      <c r="Y4" t="str">
        <f>INDEX(lang!108:108,1,$V$1)</f>
        <v>yes</v>
      </c>
      <c r="AA4" s="24" t="str">
        <f t="shared" ref="AA4:AA7" si="0">A4</f>
        <v>Nomads</v>
      </c>
      <c r="AB4" s="124" t="str">
        <f>"'data'!Y36:Y"&amp;TEXT(36+MAX(X32:X35)-1,"0")</f>
        <v>'data'!Y36:Y39</v>
      </c>
      <c r="AC4" s="124" t="str">
        <f>"'data'!AA36:AA"&amp;TEXT(36+MAX(Z32:Z35)-1,"0")</f>
        <v>'data'!AA36:AA39</v>
      </c>
      <c r="AD4" s="124" t="str">
        <f>"'data'!AC36:AC"&amp;TEXT(36+MAX(AB32:AB35)-1,"0")</f>
        <v>'data'!AC36:AC39</v>
      </c>
      <c r="AE4" s="124" t="str">
        <f>"'data'!AE36:AE"&amp;TEXT(36+MAX(AD32:AD35)-1,"0")</f>
        <v>'data'!AE36:AE39</v>
      </c>
    </row>
    <row r="5" spans="1:31" x14ac:dyDescent="0.3">
      <c r="A5" s="24" t="str">
        <f>INDEX(lang!7:7,1,LNG)</f>
        <v>Crossroads</v>
      </c>
      <c r="B5" s="24">
        <v>4</v>
      </c>
      <c r="C5" s="29">
        <f>IF(Options!F10=lngYES,1,0)</f>
        <v>0</v>
      </c>
      <c r="D5" s="24">
        <f>COUNTIFS($B$15:$B$38,A5,$E$15:$E$38,"&gt;0")</f>
        <v>0</v>
      </c>
      <c r="E5" s="29">
        <f>Options!F9</f>
        <v>0</v>
      </c>
      <c r="F5" s="36">
        <f>IF(C5*E5&lt;&gt;0,1,0)</f>
        <v>0</v>
      </c>
      <c r="G5" s="36">
        <f>IF(E5+D5&gt;B5,1,0)</f>
        <v>0</v>
      </c>
      <c r="H5" s="25">
        <f>IF(SUM(H$3:H4)=0,IF(E5=0,0,1),0)*IF(H$10=0,1,0)</f>
        <v>0</v>
      </c>
      <c r="I5" s="25">
        <f>IF(AND(SUM($H$3:I4)=SUM($E$3:$E4),SUM(I$3:I4)=0),IF(SUM($H5:H5)&gt;0,IF(SUM($H5:H5)=$E5,0,1),IF($E5=0,0,1)),0)*IF(I$10=0,1,0)</f>
        <v>0</v>
      </c>
      <c r="J5" s="25">
        <f>IF(AND(SUM($H$3:J4)=SUM($E$3:$E4),SUM(J$3:J4)=0),IF(SUM($H5:I5)&gt;0,IF(SUM($H5:I5)=$E5,0,1),IF($E5=0,0,1)),0)*IF(J$10=0,1,0)</f>
        <v>0</v>
      </c>
      <c r="K5" s="25">
        <f>IF(AND(SUM($H$3:K4)=SUM($E$3:$E4),SUM(K$3:K4)=0),IF(SUM($H5:J5)&gt;0,IF(SUM($H5:J5)=$E5,0,1),IF($E5=0,0,1)),0)*IF(K$10=0,1,0)</f>
        <v>0</v>
      </c>
      <c r="L5" t="str">
        <f>"'data'!C27:C30"</f>
        <v>'data'!C27:C30</v>
      </c>
      <c r="Q5" s="3">
        <f>data!C54</f>
        <v>0</v>
      </c>
      <c r="R5" s="3" t="str">
        <f>INDEX(lang!148:148,1,LNG)&amp;" "&amp;IF(data!D53=0,"",data!D53&amp;" "&amp;INDEX(lang!143:143,1,LNG))&amp;IF(AND(data!D53&lt;&gt;0,data!E53&lt;&gt;0)," "&amp;INDEX(lang!149:149,1,LNG)&amp;" ","")&amp;IF(data!E53=0,"",data!E53&amp;" "&amp;INDEX(lang!144:144,1,LNG))&amp;IF(AND(data!D53=0,data!E53=0),INDEX(lang!145:145,1,LNG),"")&amp;")"</f>
        <v>You can only choose up to 3 Kingdom Builder cards to force and/or use an exact number of. (Currently chosen: nothing)</v>
      </c>
      <c r="S5" t="str">
        <f>IF(Q5=0,"",R5&amp;IF(SUM(Q6:$Q$12)&gt;0,CHAR(10),""))</f>
        <v/>
      </c>
      <c r="W5" t="str">
        <f>INDEX(lang!109:109,1,LNG)</f>
        <v>no</v>
      </c>
      <c r="X5" t="s">
        <v>131</v>
      </c>
      <c r="Y5" t="str">
        <f>INDEX(lang!109:109,1,$V$1)</f>
        <v>no</v>
      </c>
      <c r="AA5" s="24" t="str">
        <f t="shared" si="0"/>
        <v>Crossroads</v>
      </c>
      <c r="AB5" s="124" t="str">
        <f>"'data'!Y45:Y"&amp;TEXT(45+MAX(X41:X44)-1,"0")</f>
        <v>'data'!Y45:Y48</v>
      </c>
      <c r="AC5" s="124" t="str">
        <f>"'data'!AA45:AA"&amp;TEXT(45+MAX(Z41:Z44)-1,"0")</f>
        <v>'data'!AA45:AA48</v>
      </c>
      <c r="AD5" s="124" t="str">
        <f>"'data'!AC45:AC"&amp;TEXT(45+MAX(AB41:AB44)-1,"0")</f>
        <v>'data'!AC45:AC48</v>
      </c>
      <c r="AE5" s="124" t="str">
        <f>"'data'!AE45:AE"&amp;TEXT(45+MAX(AD41:AD44)-1,"0")</f>
        <v>'data'!AE45:AE48</v>
      </c>
    </row>
    <row r="6" spans="1:31" x14ac:dyDescent="0.3">
      <c r="A6" s="24" t="str">
        <f>INDEX(lang!8:8,1,LNG)</f>
        <v>Marshlands</v>
      </c>
      <c r="B6" s="24">
        <v>4</v>
      </c>
      <c r="C6" s="29">
        <f>IF(Options!G10=lngYES,1,0)</f>
        <v>0</v>
      </c>
      <c r="D6" s="24">
        <f>COUNTIFS($B$15:$B$38,A6,$E$15:$E$38,"&gt;0")</f>
        <v>0</v>
      </c>
      <c r="E6" s="29">
        <f>Options!G9</f>
        <v>0</v>
      </c>
      <c r="F6" s="36">
        <f>IF(C6*E6&lt;&gt;0,1,0)</f>
        <v>0</v>
      </c>
      <c r="G6" s="36">
        <f>IF(E6+D6&gt;B6,1,0)</f>
        <v>0</v>
      </c>
      <c r="H6" s="25">
        <f>IF(SUM(H$3:H5)=0,IF(E6=0,0,1),0)*IF(H$10=0,1,0)</f>
        <v>0</v>
      </c>
      <c r="I6" s="25">
        <f>IF(AND(SUM($H$3:I5)=SUM($E$3:$E5),SUM(I$3:I5)=0),IF(SUM($H6:H6)&gt;0,IF(SUM($H6:H6)=$E6,0,1),IF($E6=0,0,1)),0)*IF(I$10=0,1,0)</f>
        <v>0</v>
      </c>
      <c r="J6" s="25">
        <f>IF(AND(SUM($H$3:J5)=SUM($E$3:$E5),SUM(J$3:J5)=0),IF(SUM($H6:I6)&gt;0,IF(SUM($H6:I6)=$E6,0,1),IF($E6=0,0,1)),0)*IF(J$10=0,1,0)</f>
        <v>0</v>
      </c>
      <c r="K6" s="25">
        <f>IF(AND(SUM($H$3:K5)=SUM($E$3:$E5),SUM(K$3:K5)=0),IF(SUM($H6:J6)&gt;0,IF(SUM($H6:J6)=$E6,0,1),IF($E6=0,0,1)),0)*IF(K$10=0,1,0)</f>
        <v>0</v>
      </c>
      <c r="L6" t="str">
        <f>"'data'!C31:C34"</f>
        <v>'data'!C31:C34</v>
      </c>
      <c r="Q6" s="3"/>
      <c r="R6" s="3"/>
      <c r="S6" t="str">
        <f>IF(Q6=0,"",R6&amp;IF(SUM(Q7:$Q$12)&gt;0,CHAR(10),""))</f>
        <v/>
      </c>
      <c r="AA6" s="24" t="str">
        <f t="shared" si="0"/>
        <v>Marshlands</v>
      </c>
      <c r="AB6" s="124" t="str">
        <f>"'data'!Y54:Y"&amp;TEXT(54+MAX(X50:X53)-1,"0")</f>
        <v>'data'!Y54:Y57</v>
      </c>
      <c r="AC6" s="124" t="str">
        <f>"'data'!AA54:AA"&amp;TEXT(54+MAX(Z50:Z53)-1,"0")</f>
        <v>'data'!AA54:AA57</v>
      </c>
      <c r="AD6" s="124" t="str">
        <f>"'data'!AC54:AC"&amp;TEXT(54+MAX(AB50:AB53)-1,"0")</f>
        <v>'data'!AC54:AC57</v>
      </c>
      <c r="AE6" s="124" t="str">
        <f>"'data'!AE54:AE"&amp;TEXT(54+MAX(AD50:AD53)-1,"0")</f>
        <v>'data'!AE54:AE57</v>
      </c>
    </row>
    <row r="7" spans="1:31" x14ac:dyDescent="0.3">
      <c r="A7" s="24" t="str">
        <f>INDEX(lang!9:9,1,LNG)</f>
        <v>Harvest</v>
      </c>
      <c r="B7" s="24">
        <v>4</v>
      </c>
      <c r="C7" s="29">
        <f>IF(Options!H10=lngYES,1,0)</f>
        <v>0</v>
      </c>
      <c r="D7" s="24">
        <f>COUNTIFS($B$15:$B$38,A7,$E$15:$E$38,"&gt;0")</f>
        <v>0</v>
      </c>
      <c r="E7" s="29">
        <f>Options!H9</f>
        <v>0</v>
      </c>
      <c r="F7" s="36">
        <f>IF(C7*E7&lt;&gt;0,1,0)</f>
        <v>0</v>
      </c>
      <c r="G7" s="36">
        <f>IF(E7+D7&gt;B7,1,0)</f>
        <v>0</v>
      </c>
      <c r="H7" s="25">
        <f>IF(SUM(H$3:H6)=0,IF(E7=0,0,1),0)*IF(H$10=0,1,0)</f>
        <v>0</v>
      </c>
      <c r="I7" s="25">
        <f>IF(AND(SUM($H$3:I6)=SUM($E$3:$E6),SUM(I$3:I6)=0),IF(SUM($H7:H7)&gt;0,IF(SUM($H7:H7)=$E7,0,1),IF($E7=0,0,1)),0)*IF(I$10=0,1,0)</f>
        <v>0</v>
      </c>
      <c r="J7" s="25">
        <f>IF(AND(SUM($H$3:J6)=SUM($E$3:$E6),SUM(J$3:J6)=0),IF(SUM($H7:I7)&gt;0,IF(SUM($H7:I7)=$E7,0,1),IF($E7=0,0,1)),0)*IF(J$10=0,1,0)</f>
        <v>0</v>
      </c>
      <c r="K7" s="25">
        <f>IF(AND(SUM($H$3:K6)=SUM($E$3:$E6),SUM(K$3:K6)=0),IF(SUM($H7:J7)&gt;0,IF(SUM($H7:J7)=$E7,0,1),IF($E7=0,0,1)),0)*IF(K$10=0,1,0)</f>
        <v>0</v>
      </c>
      <c r="L7" t="str">
        <f>"'data'!C35:C38"</f>
        <v>'data'!C35:C38</v>
      </c>
      <c r="Q7" s="3"/>
      <c r="R7" s="3"/>
      <c r="S7" t="str">
        <f>IF(Q7=0,"",R7&amp;IF(SUM(Q8:$Q$12)&gt;0,CHAR(10),""))</f>
        <v/>
      </c>
      <c r="W7" t="str">
        <f>INDEX(lang!4:4,1,LNG)</f>
        <v>none</v>
      </c>
      <c r="X7" t="s">
        <v>128</v>
      </c>
      <c r="Y7" t="str">
        <f>INDEX(lang!4:4,1,$V$1)</f>
        <v>none</v>
      </c>
      <c r="AA7" s="24" t="str">
        <f t="shared" si="0"/>
        <v>Harvest</v>
      </c>
      <c r="AB7" s="124" t="str">
        <f>"'data'!Y63:Y"&amp;TEXT(63+MAX(X59:X62)-1,"0")</f>
        <v>'data'!Y63:Y66</v>
      </c>
      <c r="AC7" s="124" t="str">
        <f>"'data'!AA63:AA"&amp;TEXT(63+MAX(Z59:Z62)-1,"0")</f>
        <v>'data'!AA63:AA66</v>
      </c>
      <c r="AD7" s="124" t="str">
        <f>"'data'!AC63:AC"&amp;TEXT(63+MAX(AB59:AB62)-1,"0")</f>
        <v>'data'!AC63:AC66</v>
      </c>
      <c r="AE7" s="124" t="str">
        <f>"'data'!AE63:AE"&amp;TEXT(63+MAX(AD59:AD62)-1,"0")</f>
        <v>'data'!AE63:AE66</v>
      </c>
    </row>
    <row r="8" spans="1:31" x14ac:dyDescent="0.3">
      <c r="A8" s="6"/>
      <c r="B8" t="s">
        <v>116</v>
      </c>
      <c r="C8">
        <f>4-D8-E8</f>
        <v>4</v>
      </c>
      <c r="D8">
        <f>SUM(D3:D7)</f>
        <v>0</v>
      </c>
      <c r="E8">
        <f>SUM(E3:E7)</f>
        <v>0</v>
      </c>
      <c r="F8" s="18"/>
      <c r="G8" s="26" t="s">
        <v>94</v>
      </c>
      <c r="H8" s="22">
        <f ca="1">H9-SUMPRODUCT($B$3:$B$7,H3:H7)+1</f>
        <v>1</v>
      </c>
      <c r="I8" s="22">
        <f ca="1">I9-SUMPRODUCT($B$3:$B$7,I3:I7)+1</f>
        <v>1</v>
      </c>
      <c r="J8" s="22">
        <f ca="1">J9-SUMPRODUCT($B$3:$B$7,J3:J7)+1</f>
        <v>1</v>
      </c>
      <c r="K8" s="22">
        <f ca="1">K9-SUMPRODUCT($B$3:$B$7,K3:K7)+1</f>
        <v>1</v>
      </c>
      <c r="O8" s="55"/>
      <c r="Q8" s="3"/>
      <c r="R8" s="3"/>
      <c r="S8" t="str">
        <f>IF(Q8=0,"",R8&amp;IF(SUM(Q9:$Q$12)&gt;0,CHAR(10),""))</f>
        <v/>
      </c>
      <c r="AA8" s="46" t="str">
        <f>A49</f>
        <v>Base</v>
      </c>
      <c r="AB8" s="124" t="str">
        <f>"'data'!Y80:Y"&amp;TEXT(80+MAX(X70:X79)-1,"0")</f>
        <v>'data'!Y80:Y89</v>
      </c>
      <c r="AC8" t="str">
        <f>"'data'!AA80:AA"&amp;TEXT(80+MAX(Z70:Z79)-1,"0")</f>
        <v>'data'!AA80:AA89</v>
      </c>
      <c r="AD8" t="str">
        <f>"'data'!AC80:AC"&amp;TEXT(80+MAX(AB70:AB79)-1,"0")</f>
        <v>'data'!AC80:AC89</v>
      </c>
    </row>
    <row r="9" spans="1:31" x14ac:dyDescent="0.3">
      <c r="B9" s="30" t="s">
        <v>106</v>
      </c>
      <c r="C9">
        <f>IF(SUM(D8:E8)&gt;4,1,0)</f>
        <v>0</v>
      </c>
      <c r="G9" s="22" t="s">
        <v>97</v>
      </c>
      <c r="H9" s="22">
        <f ca="1">SUM($B$2:INDIRECT("B"&amp;TEXT(IFERROR(MATCH(1,H$3:H$7,0),0)+2,"0")))</f>
        <v>0</v>
      </c>
      <c r="I9" s="22">
        <f ca="1">SUM($B$2:INDIRECT("B"&amp;TEXT(IFERROR(MATCH(1,I$3:I$7,0),0)+2,"0")))</f>
        <v>0</v>
      </c>
      <c r="J9" s="22">
        <f ca="1">SUM($B$2:INDIRECT("B"&amp;TEXT(IFERROR(MATCH(1,J$3:J$7,0),0)+2,"0")))</f>
        <v>0</v>
      </c>
      <c r="K9" s="22">
        <f ca="1">SUM($B$2:INDIRECT("B"&amp;TEXT(IFERROR(MATCH(1,K$3:K$7,0),0)+2,"0")))</f>
        <v>0</v>
      </c>
      <c r="Q9" s="3"/>
      <c r="R9" s="3"/>
      <c r="S9" t="str">
        <f>IF(Q9=0,"",R9&amp;IF(SUM(Q10:$Q$12)&gt;0,CHAR(10),""))</f>
        <v/>
      </c>
      <c r="AA9" s="46" t="str">
        <f t="shared" ref="AA9:AA11" si="1">A50</f>
        <v>Nomads</v>
      </c>
      <c r="AB9" s="124" t="str">
        <f>"'data'!Y94:Y"&amp;TEXT(94+MAX(X91:X93)-1,"0")</f>
        <v>'data'!Y94:Y96</v>
      </c>
      <c r="AC9" t="str">
        <f>"'data'!AA94:AA"&amp;TEXT(94+MAX(Z91:Z93)-1,"0")</f>
        <v>'data'!AA94:AA96</v>
      </c>
      <c r="AD9" t="str">
        <f>"'data'!AC94:AC"&amp;TEXT(94+MAX(AB91:AB93)-1,"0")</f>
        <v>'data'!AC94:AC96</v>
      </c>
    </row>
    <row r="10" spans="1:31" x14ac:dyDescent="0.3">
      <c r="B10" s="31" t="s">
        <v>105</v>
      </c>
      <c r="C10">
        <f>IF(AND(SUM(C3:C7)=0,SUM(D8:E8)&lt;&gt;4),1,0)</f>
        <v>0</v>
      </c>
      <c r="E10" t="s">
        <v>304</v>
      </c>
      <c r="G10" s="22" t="s">
        <v>93</v>
      </c>
      <c r="H10" s="22">
        <f>IFERROR(LARGE($E$15:$E$38,H2),0)</f>
        <v>0</v>
      </c>
      <c r="I10" s="22">
        <f>IFERROR(LARGE($E$15:$E$38,I2),0)</f>
        <v>0</v>
      </c>
      <c r="J10" s="22">
        <f>IFERROR(LARGE($E$15:$E$38,J2),0)</f>
        <v>0</v>
      </c>
      <c r="K10" s="22">
        <f>IFERROR(LARGE($E$15:$E$38,K2),0)</f>
        <v>0</v>
      </c>
      <c r="M10" s="47"/>
      <c r="Q10" s="3"/>
      <c r="R10" s="3"/>
      <c r="S10" t="str">
        <f>IF(Q10=0,"",R10&amp;IF(SUM(Q11:$Q$12)&gt;0,CHAR(10),""))</f>
        <v/>
      </c>
      <c r="AA10" s="46" t="str">
        <f t="shared" si="1"/>
        <v>Marshlands</v>
      </c>
      <c r="AB10" s="124" t="str">
        <f>"'data'!Y104:Y"&amp;TEXT(104+MAX(X98:X103)-1,"0")</f>
        <v>'data'!Y104:Y109</v>
      </c>
      <c r="AC10" t="str">
        <f>"'data'!AA104:AA"&amp;TEXT(104+MAX(Z98:Z103)-1,"0")</f>
        <v>'data'!AA104:AA109</v>
      </c>
      <c r="AD10" t="str">
        <f>"'data'!AC104:AC"&amp;TEXT(104+MAX(AB98:AB103)-1,"0")</f>
        <v>'data'!AC104:AC109</v>
      </c>
    </row>
    <row r="11" spans="1:31" x14ac:dyDescent="0.3">
      <c r="A11" t="s">
        <v>621</v>
      </c>
      <c r="E11" s="55" t="s">
        <v>583</v>
      </c>
      <c r="G11" s="22" t="s">
        <v>26</v>
      </c>
      <c r="H11" s="22">
        <f ca="1">IFERROR(RANDBETWEEN(1,SUM(H15:H38)),0)</f>
        <v>4</v>
      </c>
      <c r="I11" s="22">
        <f ca="1">IFERROR(RANDBETWEEN(1,SUM(I15:I38)),0)</f>
        <v>4</v>
      </c>
      <c r="J11" s="22">
        <f ca="1">IFERROR(RANDBETWEEN(1,SUM(J15:J38)),0)</f>
        <v>1</v>
      </c>
      <c r="K11" s="22">
        <f ca="1">IFERROR(RANDBETWEEN(1,SUM(K15:K38)),0)</f>
        <v>1</v>
      </c>
      <c r="Q11" s="3"/>
      <c r="R11" s="3"/>
      <c r="S11" t="str">
        <f>IF(Q11=0,"",R11&amp;IF(SUM(Q12:$Q$12)&gt;0,CHAR(10),""))</f>
        <v/>
      </c>
      <c r="AA11" s="46" t="str">
        <f t="shared" si="1"/>
        <v>Harvest</v>
      </c>
      <c r="AB11" s="124" t="str">
        <f>"'data'!Y117:Y"&amp;TEXT(117+MAX(X111:X116)-1,"0")</f>
        <v>'data'!Y117:Y122</v>
      </c>
      <c r="AC11" t="str">
        <f>"'data'!AA117:AA"&amp;TEXT(117+MAX(Z111:Z116)-1,"0")</f>
        <v>'data'!AA117:AA122</v>
      </c>
      <c r="AD11" t="str">
        <f>"'data'!AC117:AC"&amp;TEXT(117+MAX(AB111:AB116)-1,"0")</f>
        <v>'data'!AC117:AC122</v>
      </c>
    </row>
    <row r="12" spans="1:31" x14ac:dyDescent="0.3">
      <c r="A12">
        <f ca="1">RANDBETWEEN(0,1)</f>
        <v>0</v>
      </c>
      <c r="B12">
        <f t="shared" ref="B12:D12" ca="1" si="2">RANDBETWEEN(0,1)</f>
        <v>1</v>
      </c>
      <c r="C12">
        <f t="shared" ca="1" si="2"/>
        <v>0</v>
      </c>
      <c r="D12">
        <f t="shared" ca="1" si="2"/>
        <v>1</v>
      </c>
      <c r="G12" s="22" t="s">
        <v>33</v>
      </c>
      <c r="H12" s="22">
        <f ca="1">IF(H10=0,INDEX($A15:$A38,MATCH(H11,L15:L38,0)),INDEX($A$15:$A$38,MATCH(H10,$E$15:$E$38,0)))</f>
        <v>4</v>
      </c>
      <c r="I12" s="22">
        <f ca="1">IF(I10=0,INDEX($A15:$A38,MATCH(I11,M15:M38,0)),INDEX($A$15:$A$38,MATCH(I10,$E$15:$E$38,0)))</f>
        <v>5</v>
      </c>
      <c r="J12" s="22">
        <f ca="1">IF(J10=0,INDEX($A15:$A38,MATCH(J11,N15:N38,0)),INDEX($A$15:$A$38,MATCH(J10,$E$15:$E$38,0)))</f>
        <v>1</v>
      </c>
      <c r="K12" s="22">
        <f ca="1">IF(K10=0,INDEX($A15:$A38,MATCH(K11,O15:O38,0)),INDEX($A$15:$A$38,MATCH(K10,$E$15:$E$38,0)))</f>
        <v>2</v>
      </c>
      <c r="Q12" s="3"/>
      <c r="R12" s="3"/>
      <c r="S12" t="str">
        <f>IF(Q12=0,"",R12&amp;IF(SUM(Q$12:$Q13)&gt;0,CHAR(10),""))</f>
        <v/>
      </c>
      <c r="AA12" s="125" t="s">
        <v>443</v>
      </c>
      <c r="AB12" s="124" t="str">
        <f>"'data'!Y134:Y"&amp;TEXT(134+MAX(X127:X133)-1,"0")</f>
        <v>'data'!Y134:Y139</v>
      </c>
      <c r="AC12" t="str">
        <f>"'data'!AA134:AA"&amp;TEXT(134+MAX(Z127:Z133)-1,"0")</f>
        <v>'data'!AA134:AA139</v>
      </c>
      <c r="AD12" t="str">
        <f>"'data'!AC134:AC"&amp;TEXT(134+MAX(AB127:AB133)-1,"0")</f>
        <v>'data'!AC134:AC139</v>
      </c>
      <c r="AE12" t="str">
        <f>"'data'!AE134:AE"&amp;TEXT(134+MAX(AD127:AD133)-1,"0")</f>
        <v>'data'!AE134:AE139</v>
      </c>
    </row>
    <row r="13" spans="1:31" ht="21" x14ac:dyDescent="0.4">
      <c r="A13" s="201" t="s">
        <v>11</v>
      </c>
      <c r="B13" s="201"/>
      <c r="C13" s="201"/>
      <c r="D13" s="201"/>
      <c r="E13" s="201"/>
      <c r="F13" s="201"/>
      <c r="G13" s="192" t="s">
        <v>122</v>
      </c>
      <c r="H13" s="192"/>
      <c r="I13" s="192"/>
      <c r="J13" s="192"/>
      <c r="K13" s="192"/>
      <c r="L13" s="192" t="s">
        <v>30</v>
      </c>
      <c r="M13" s="192"/>
      <c r="N13" s="192"/>
      <c r="O13" s="192"/>
      <c r="R13" t="s">
        <v>145</v>
      </c>
      <c r="S13" s="39" t="str">
        <f>CONCATENATE(S2,S3,S4,S5,S6,S7,S8,S9,S10,S11,S12)</f>
        <v/>
      </c>
    </row>
    <row r="14" spans="1:31" x14ac:dyDescent="0.3">
      <c r="A14" s="11" t="s">
        <v>109</v>
      </c>
      <c r="B14" s="11" t="s">
        <v>110</v>
      </c>
      <c r="C14" s="11" t="s">
        <v>111</v>
      </c>
      <c r="D14" s="11" t="s">
        <v>86</v>
      </c>
      <c r="E14" s="11" t="s">
        <v>88</v>
      </c>
      <c r="F14" s="20" t="s">
        <v>121</v>
      </c>
      <c r="G14" s="192"/>
      <c r="H14" s="192"/>
      <c r="I14" s="192"/>
      <c r="J14" s="192"/>
      <c r="K14" s="192"/>
      <c r="L14" s="192"/>
      <c r="M14" s="192"/>
      <c r="N14" s="192"/>
      <c r="O14" s="192"/>
    </row>
    <row r="15" spans="1:31" x14ac:dyDescent="0.3">
      <c r="A15" s="3">
        <v>1</v>
      </c>
      <c r="B15" s="3" t="str">
        <f t="shared" ref="B15:B22" si="3">$A$3</f>
        <v>Base</v>
      </c>
      <c r="C15" s="3" t="str">
        <f>INDEX(lang!11:11,1,LNG)</f>
        <v>Tavern</v>
      </c>
      <c r="D15" s="3" t="str">
        <f t="shared" ref="D15:D38" si="4">B15&amp;": "&amp;C15</f>
        <v>Base: Tavern</v>
      </c>
      <c r="E15" s="29">
        <f>IFERROR(INDEX(Options!$Q$9:$Q$12,MATCH(C15,Options!$M$9:$M$12,0)),0)</f>
        <v>0</v>
      </c>
      <c r="F15" s="3">
        <f t="shared" ref="F15:F38" si="5">IF(E15&lt;&gt;0,0,IF(INDEX($C$3:$C$7,MATCH(B15,$A$3:$A$7,0))=1,1,0))</f>
        <v>1</v>
      </c>
      <c r="G15" s="7"/>
      <c r="H15" s="3">
        <f ca="1">IF(H$9=0,$F15*IF(H$10&lt;&gt;0,0,1),IF(AND($A15&gt;=H$8,$A15&lt;=H$9),1,0))*IF(ISERROR(MATCH($A15,$G$12:G$12,0)),1,0)</f>
        <v>1</v>
      </c>
      <c r="I15" s="3">
        <f ca="1">IF(I$9=0,$F15*IF(I$10&lt;&gt;0,0,1),IF(AND($A15&gt;=I$8,$A15&lt;=I$9),1,0))*IF(ISERROR(MATCH($A15,$G$12:H$12,0)),1,0)</f>
        <v>1</v>
      </c>
      <c r="J15" s="3">
        <f ca="1">IF(J$9=0,$F15*IF(J$10&lt;&gt;0,0,1),IF(AND($A15&gt;=J$8,$A15&lt;=J$9),1,0))*IF(ISERROR(MATCH($A15,$G$12:I$12,0)),1,0)</f>
        <v>1</v>
      </c>
      <c r="K15" s="3">
        <f ca="1">IF(K$9=0,$F15*IF(K$10&lt;&gt;0,0,1),IF(AND($A15&gt;=K$8,$A15&lt;=K$9),1,0))*IF(ISERROR(MATCH($A15,$G$12:J$12,0)),1,0)</f>
        <v>0</v>
      </c>
      <c r="L15" s="3">
        <f ca="1">SUM(H$15:H15)</f>
        <v>1</v>
      </c>
      <c r="M15" s="3">
        <f ca="1">SUM(I$15:I15)</f>
        <v>1</v>
      </c>
      <c r="N15" s="3">
        <f ca="1">SUM(J$15:J15)</f>
        <v>1</v>
      </c>
      <c r="O15" s="3">
        <f ca="1">SUM(K$15:K15)</f>
        <v>0</v>
      </c>
      <c r="X15">
        <f>IF(Y15="",0,1)</f>
        <v>1</v>
      </c>
      <c r="Y15" t="str">
        <f t="shared" ref="Y15:Y22" si="6">IF(AND($E15&gt;0,$E15&lt;&gt;AB$2),"",$C15)</f>
        <v>Tavern</v>
      </c>
      <c r="Z15">
        <f>IF(AA15="",0,1)</f>
        <v>1</v>
      </c>
      <c r="AA15" t="str">
        <f t="shared" ref="AA15:AA22" si="7">IF(AND($E15&gt;0,$E15&lt;&gt;AC$2),"",$C15)</f>
        <v>Tavern</v>
      </c>
      <c r="AB15">
        <f>IF(AC15="",0,1)</f>
        <v>1</v>
      </c>
      <c r="AC15" t="str">
        <f t="shared" ref="AC15:AC22" si="8">IF(AND($E15&gt;0,$E15&lt;&gt;AD$2),"",$C15)</f>
        <v>Tavern</v>
      </c>
      <c r="AD15">
        <f>IF(AE15="",0,1)</f>
        <v>1</v>
      </c>
      <c r="AE15" t="str">
        <f t="shared" ref="AE15:AE22" si="9">IF(AND($E15&gt;0,$E15&lt;&gt;AE$2),"",$C15)</f>
        <v>Tavern</v>
      </c>
    </row>
    <row r="16" spans="1:31" x14ac:dyDescent="0.3">
      <c r="A16" s="3">
        <f t="shared" ref="A16:A38" si="10">A15+1</f>
        <v>2</v>
      </c>
      <c r="B16" s="3" t="str">
        <f t="shared" si="3"/>
        <v>Base</v>
      </c>
      <c r="C16" s="3" t="str">
        <f>INDEX(lang!12:12,1,LNG)</f>
        <v>Barn</v>
      </c>
      <c r="D16" s="3" t="str">
        <f t="shared" si="4"/>
        <v>Base: Barn</v>
      </c>
      <c r="E16" s="29">
        <f>IFERROR(INDEX(Options!$Q$9:$Q$12,MATCH(C16,Options!$M$9:$M$12,0)),0)</f>
        <v>0</v>
      </c>
      <c r="F16" s="3">
        <f t="shared" si="5"/>
        <v>1</v>
      </c>
      <c r="G16" s="7"/>
      <c r="H16" s="3">
        <f ca="1">IF(H$9=0,$F16*IF(H$10&lt;&gt;0,0,1),IF(AND($A16&gt;=H$8,$A16&lt;=H$9),1,0))*IF(ISERROR(MATCH($A16,$G$12:G$12,0)),1,0)</f>
        <v>1</v>
      </c>
      <c r="I16" s="3">
        <f ca="1">IF(I$9=0,$F16*IF(I$10&lt;&gt;0,0,1),IF(AND($A16&gt;=I$8,$A16&lt;=I$9),1,0))*IF(ISERROR(MATCH($A16,$G$12:H$12,0)),1,0)</f>
        <v>1</v>
      </c>
      <c r="J16" s="3">
        <f ca="1">IF(J$9=0,$F16*IF(J$10&lt;&gt;0,0,1),IF(AND($A16&gt;=J$8,$A16&lt;=J$9),1,0))*IF(ISERROR(MATCH($A16,$G$12:I$12,0)),1,0)</f>
        <v>1</v>
      </c>
      <c r="K16" s="3">
        <f ca="1">IF(K$9=0,$F16*IF(K$10&lt;&gt;0,0,1),IF(AND($A16&gt;=K$8,$A16&lt;=K$9),1,0))*IF(ISERROR(MATCH($A16,$G$12:J$12,0)),1,0)</f>
        <v>1</v>
      </c>
      <c r="L16" s="3">
        <f ca="1">SUM(H$15:H16)</f>
        <v>2</v>
      </c>
      <c r="M16" s="3">
        <f ca="1">SUM(I$15:I16)</f>
        <v>2</v>
      </c>
      <c r="N16" s="3">
        <f ca="1">SUM(J$15:J16)</f>
        <v>2</v>
      </c>
      <c r="O16" s="3">
        <f ca="1">SUM(K$15:K16)</f>
        <v>1</v>
      </c>
      <c r="X16">
        <f>IF(Y16="",X15,X15+1)</f>
        <v>2</v>
      </c>
      <c r="Y16" t="str">
        <f t="shared" si="6"/>
        <v>Barn</v>
      </c>
      <c r="Z16">
        <f>IF(AA16="",Z15,Z15+1)</f>
        <v>2</v>
      </c>
      <c r="AA16" t="str">
        <f t="shared" si="7"/>
        <v>Barn</v>
      </c>
      <c r="AB16">
        <f>IF(AC16="",AB15,AB15+1)</f>
        <v>2</v>
      </c>
      <c r="AC16" t="str">
        <f t="shared" si="8"/>
        <v>Barn</v>
      </c>
      <c r="AD16">
        <f>IF(AE16="",AD15,AD15+1)</f>
        <v>2</v>
      </c>
      <c r="AE16" t="str">
        <f t="shared" si="9"/>
        <v>Barn</v>
      </c>
    </row>
    <row r="17" spans="1:31" x14ac:dyDescent="0.3">
      <c r="A17" s="3">
        <f t="shared" si="10"/>
        <v>3</v>
      </c>
      <c r="B17" s="3" t="str">
        <f t="shared" si="3"/>
        <v>Base</v>
      </c>
      <c r="C17" s="3" t="str">
        <f>INDEX(lang!13:13,1,LNG)</f>
        <v>Farm</v>
      </c>
      <c r="D17" s="3" t="str">
        <f t="shared" si="4"/>
        <v>Base: Farm</v>
      </c>
      <c r="E17" s="29">
        <f>IFERROR(INDEX(Options!$Q$9:$Q$12,MATCH(C17,Options!$M$9:$M$12,0)),0)</f>
        <v>0</v>
      </c>
      <c r="F17" s="3">
        <f t="shared" si="5"/>
        <v>1</v>
      </c>
      <c r="G17" s="7"/>
      <c r="H17" s="3">
        <f ca="1">IF(H$9=0,$F17*IF(H$10&lt;&gt;0,0,1),IF(AND($A17&gt;=H$8,$A17&lt;=H$9),1,0))*IF(ISERROR(MATCH($A17,$G$12:G$12,0)),1,0)</f>
        <v>1</v>
      </c>
      <c r="I17" s="3">
        <f ca="1">IF(I$9=0,$F17*IF(I$10&lt;&gt;0,0,1),IF(AND($A17&gt;=I$8,$A17&lt;=I$9),1,0))*IF(ISERROR(MATCH($A17,$G$12:H$12,0)),1,0)</f>
        <v>1</v>
      </c>
      <c r="J17" s="3">
        <f ca="1">IF(J$9=0,$F17*IF(J$10&lt;&gt;0,0,1),IF(AND($A17&gt;=J$8,$A17&lt;=J$9),1,0))*IF(ISERROR(MATCH($A17,$G$12:I$12,0)),1,0)</f>
        <v>1</v>
      </c>
      <c r="K17" s="3">
        <f ca="1">IF(K$9=0,$F17*IF(K$10&lt;&gt;0,0,1),IF(AND($A17&gt;=K$8,$A17&lt;=K$9),1,0))*IF(ISERROR(MATCH($A17,$G$12:J$12,0)),1,0)</f>
        <v>1</v>
      </c>
      <c r="L17" s="3">
        <f ca="1">SUM(H$15:H17)</f>
        <v>3</v>
      </c>
      <c r="M17" s="3">
        <f ca="1">SUM(I$15:I17)</f>
        <v>3</v>
      </c>
      <c r="N17" s="3">
        <f ca="1">SUM(J$15:J17)</f>
        <v>3</v>
      </c>
      <c r="O17" s="3">
        <f ca="1">SUM(K$15:K17)</f>
        <v>2</v>
      </c>
      <c r="X17">
        <f t="shared" ref="X17:X22" si="11">IF(Y17="",X16,X16+1)</f>
        <v>3</v>
      </c>
      <c r="Y17" t="str">
        <f t="shared" si="6"/>
        <v>Farm</v>
      </c>
      <c r="Z17">
        <f t="shared" ref="Z17:Z22" si="12">IF(AA17="",Z16,Z16+1)</f>
        <v>3</v>
      </c>
      <c r="AA17" t="str">
        <f t="shared" si="7"/>
        <v>Farm</v>
      </c>
      <c r="AB17">
        <f t="shared" ref="AB17:AB22" si="13">IF(AC17="",AB16,AB16+1)</f>
        <v>3</v>
      </c>
      <c r="AC17" t="str">
        <f t="shared" si="8"/>
        <v>Farm</v>
      </c>
      <c r="AD17">
        <f t="shared" ref="AD17:AD22" si="14">IF(AE17="",AD16,AD16+1)</f>
        <v>3</v>
      </c>
      <c r="AE17" t="str">
        <f t="shared" si="9"/>
        <v>Farm</v>
      </c>
    </row>
    <row r="18" spans="1:31" x14ac:dyDescent="0.3">
      <c r="A18" s="3">
        <f t="shared" si="10"/>
        <v>4</v>
      </c>
      <c r="B18" s="3" t="str">
        <f t="shared" si="3"/>
        <v>Base</v>
      </c>
      <c r="C18" s="3" t="str">
        <f>INDEX(lang!14:14,1,LNG)</f>
        <v>Oasis</v>
      </c>
      <c r="D18" s="3" t="str">
        <f t="shared" si="4"/>
        <v>Base: Oasis</v>
      </c>
      <c r="E18" s="29">
        <f>IFERROR(INDEX(Options!$Q$9:$Q$12,MATCH(C18,Options!$M$9:$M$12,0)),0)</f>
        <v>0</v>
      </c>
      <c r="F18" s="3">
        <f t="shared" si="5"/>
        <v>1</v>
      </c>
      <c r="G18" s="7"/>
      <c r="H18" s="3">
        <f ca="1">IF(H$9=0,$F18*IF(H$10&lt;&gt;0,0,1),IF(AND($A18&gt;=H$8,$A18&lt;=H$9),1,0))*IF(ISERROR(MATCH($A18,$G$12:G$12,0)),1,0)</f>
        <v>1</v>
      </c>
      <c r="I18" s="3">
        <f ca="1">IF(I$9=0,$F18*IF(I$10&lt;&gt;0,0,1),IF(AND($A18&gt;=I$8,$A18&lt;=I$9),1,0))*IF(ISERROR(MATCH($A18,$G$12:H$12,0)),1,0)</f>
        <v>0</v>
      </c>
      <c r="J18" s="3">
        <f ca="1">IF(J$9=0,$F18*IF(J$10&lt;&gt;0,0,1),IF(AND($A18&gt;=J$8,$A18&lt;=J$9),1,0))*IF(ISERROR(MATCH($A18,$G$12:I$12,0)),1,0)</f>
        <v>0</v>
      </c>
      <c r="K18" s="3">
        <f ca="1">IF(K$9=0,$F18*IF(K$10&lt;&gt;0,0,1),IF(AND($A18&gt;=K$8,$A18&lt;=K$9),1,0))*IF(ISERROR(MATCH($A18,$G$12:J$12,0)),1,0)</f>
        <v>0</v>
      </c>
      <c r="L18" s="3">
        <f ca="1">SUM(H$15:H18)</f>
        <v>4</v>
      </c>
      <c r="M18" s="3">
        <f ca="1">SUM(I$15:I18)</f>
        <v>3</v>
      </c>
      <c r="N18" s="3">
        <f ca="1">SUM(J$15:J18)</f>
        <v>3</v>
      </c>
      <c r="O18" s="3">
        <f ca="1">SUM(K$15:K18)</f>
        <v>2</v>
      </c>
      <c r="X18">
        <f t="shared" si="11"/>
        <v>4</v>
      </c>
      <c r="Y18" t="str">
        <f t="shared" si="6"/>
        <v>Oasis</v>
      </c>
      <c r="Z18">
        <f t="shared" si="12"/>
        <v>4</v>
      </c>
      <c r="AA18" t="str">
        <f t="shared" si="7"/>
        <v>Oasis</v>
      </c>
      <c r="AB18">
        <f t="shared" si="13"/>
        <v>4</v>
      </c>
      <c r="AC18" t="str">
        <f t="shared" si="8"/>
        <v>Oasis</v>
      </c>
      <c r="AD18">
        <f t="shared" si="14"/>
        <v>4</v>
      </c>
      <c r="AE18" t="str">
        <f t="shared" si="9"/>
        <v>Oasis</v>
      </c>
    </row>
    <row r="19" spans="1:31" x14ac:dyDescent="0.3">
      <c r="A19" s="3">
        <f t="shared" si="10"/>
        <v>5</v>
      </c>
      <c r="B19" s="3" t="str">
        <f t="shared" si="3"/>
        <v>Base</v>
      </c>
      <c r="C19" s="3" t="str">
        <f>INDEX(lang!15:15,1,LNG)</f>
        <v>Paddock</v>
      </c>
      <c r="D19" s="3" t="str">
        <f t="shared" si="4"/>
        <v>Base: Paddock</v>
      </c>
      <c r="E19" s="29">
        <f>IFERROR(INDEX(Options!$Q$9:$Q$12,MATCH(C19,Options!$M$9:$M$12,0)),0)</f>
        <v>0</v>
      </c>
      <c r="F19" s="3">
        <f t="shared" si="5"/>
        <v>1</v>
      </c>
      <c r="G19" s="7"/>
      <c r="H19" s="3">
        <f ca="1">IF(H$9=0,$F19*IF(H$10&lt;&gt;0,0,1),IF(AND($A19&gt;=H$8,$A19&lt;=H$9),1,0))*IF(ISERROR(MATCH($A19,$G$12:G$12,0)),1,0)</f>
        <v>1</v>
      </c>
      <c r="I19" s="3">
        <f ca="1">IF(I$9=0,$F19*IF(I$10&lt;&gt;0,0,1),IF(AND($A19&gt;=I$8,$A19&lt;=I$9),1,0))*IF(ISERROR(MATCH($A19,$G$12:H$12,0)),1,0)</f>
        <v>1</v>
      </c>
      <c r="J19" s="3">
        <f ca="1">IF(J$9=0,$F19*IF(J$10&lt;&gt;0,0,1),IF(AND($A19&gt;=J$8,$A19&lt;=J$9),1,0))*IF(ISERROR(MATCH($A19,$G$12:I$12,0)),1,0)</f>
        <v>0</v>
      </c>
      <c r="K19" s="3">
        <f ca="1">IF(K$9=0,$F19*IF(K$10&lt;&gt;0,0,1),IF(AND($A19&gt;=K$8,$A19&lt;=K$9),1,0))*IF(ISERROR(MATCH($A19,$G$12:J$12,0)),1,0)</f>
        <v>0</v>
      </c>
      <c r="L19" s="3">
        <f ca="1">SUM(H$15:H19)</f>
        <v>5</v>
      </c>
      <c r="M19" s="3">
        <f ca="1">SUM(I$15:I19)</f>
        <v>4</v>
      </c>
      <c r="N19" s="3">
        <f ca="1">SUM(J$15:J19)</f>
        <v>3</v>
      </c>
      <c r="O19" s="3">
        <f ca="1">SUM(K$15:K19)</f>
        <v>2</v>
      </c>
      <c r="X19">
        <f t="shared" si="11"/>
        <v>5</v>
      </c>
      <c r="Y19" t="str">
        <f t="shared" si="6"/>
        <v>Paddock</v>
      </c>
      <c r="Z19">
        <f t="shared" si="12"/>
        <v>5</v>
      </c>
      <c r="AA19" t="str">
        <f t="shared" si="7"/>
        <v>Paddock</v>
      </c>
      <c r="AB19">
        <f t="shared" si="13"/>
        <v>5</v>
      </c>
      <c r="AC19" t="str">
        <f t="shared" si="8"/>
        <v>Paddock</v>
      </c>
      <c r="AD19">
        <f t="shared" si="14"/>
        <v>5</v>
      </c>
      <c r="AE19" t="str">
        <f t="shared" si="9"/>
        <v>Paddock</v>
      </c>
    </row>
    <row r="20" spans="1:31" x14ac:dyDescent="0.3">
      <c r="A20" s="3">
        <f t="shared" si="10"/>
        <v>6</v>
      </c>
      <c r="B20" s="3" t="str">
        <f t="shared" si="3"/>
        <v>Base</v>
      </c>
      <c r="C20" s="3" t="str">
        <f>INDEX(lang!16:16,1,LNG)</f>
        <v>Tower</v>
      </c>
      <c r="D20" s="3" t="str">
        <f t="shared" si="4"/>
        <v>Base: Tower</v>
      </c>
      <c r="E20" s="29">
        <f>IFERROR(INDEX(Options!$Q$9:$Q$12,MATCH(C20,Options!$M$9:$M$12,0)),0)</f>
        <v>0</v>
      </c>
      <c r="F20" s="3">
        <f t="shared" si="5"/>
        <v>1</v>
      </c>
      <c r="G20" s="7"/>
      <c r="H20" s="3">
        <f ca="1">IF(H$9=0,$F20*IF(H$10&lt;&gt;0,0,1),IF(AND($A20&gt;=H$8,$A20&lt;=H$9),1,0))*IF(ISERROR(MATCH($A20,$G$12:G$12,0)),1,0)</f>
        <v>1</v>
      </c>
      <c r="I20" s="3">
        <f ca="1">IF(I$9=0,$F20*IF(I$10&lt;&gt;0,0,1),IF(AND($A20&gt;=I$8,$A20&lt;=I$9),1,0))*IF(ISERROR(MATCH($A20,$G$12:H$12,0)),1,0)</f>
        <v>1</v>
      </c>
      <c r="J20" s="3">
        <f ca="1">IF(J$9=0,$F20*IF(J$10&lt;&gt;0,0,1),IF(AND($A20&gt;=J$8,$A20&lt;=J$9),1,0))*IF(ISERROR(MATCH($A20,$G$12:I$12,0)),1,0)</f>
        <v>1</v>
      </c>
      <c r="K20" s="3">
        <f ca="1">IF(K$9=0,$F20*IF(K$10&lt;&gt;0,0,1),IF(AND($A20&gt;=K$8,$A20&lt;=K$9),1,0))*IF(ISERROR(MATCH($A20,$G$12:J$12,0)),1,0)</f>
        <v>1</v>
      </c>
      <c r="L20" s="3">
        <f ca="1">SUM(H$15:H20)</f>
        <v>6</v>
      </c>
      <c r="M20" s="3">
        <f ca="1">SUM(I$15:I20)</f>
        <v>5</v>
      </c>
      <c r="N20" s="3">
        <f ca="1">SUM(J$15:J20)</f>
        <v>4</v>
      </c>
      <c r="O20" s="3">
        <f ca="1">SUM(K$15:K20)</f>
        <v>3</v>
      </c>
      <c r="X20">
        <f t="shared" si="11"/>
        <v>6</v>
      </c>
      <c r="Y20" t="str">
        <f t="shared" si="6"/>
        <v>Tower</v>
      </c>
      <c r="Z20">
        <f t="shared" si="12"/>
        <v>6</v>
      </c>
      <c r="AA20" t="str">
        <f t="shared" si="7"/>
        <v>Tower</v>
      </c>
      <c r="AB20">
        <f t="shared" si="13"/>
        <v>6</v>
      </c>
      <c r="AC20" t="str">
        <f t="shared" si="8"/>
        <v>Tower</v>
      </c>
      <c r="AD20">
        <f t="shared" si="14"/>
        <v>6</v>
      </c>
      <c r="AE20" t="str">
        <f t="shared" si="9"/>
        <v>Tower</v>
      </c>
    </row>
    <row r="21" spans="1:31" x14ac:dyDescent="0.3">
      <c r="A21" s="3">
        <f t="shared" si="10"/>
        <v>7</v>
      </c>
      <c r="B21" s="3" t="str">
        <f t="shared" si="3"/>
        <v>Base</v>
      </c>
      <c r="C21" s="3" t="str">
        <f>INDEX(lang!17:17,1,LNG)</f>
        <v>Oracle</v>
      </c>
      <c r="D21" s="3" t="str">
        <f t="shared" si="4"/>
        <v>Base: Oracle</v>
      </c>
      <c r="E21" s="29">
        <f>IFERROR(INDEX(Options!$Q$9:$Q$12,MATCH(C21,Options!$M$9:$M$12,0)),0)</f>
        <v>0</v>
      </c>
      <c r="F21" s="3">
        <f t="shared" si="5"/>
        <v>1</v>
      </c>
      <c r="G21" s="7"/>
      <c r="H21" s="3">
        <f ca="1">IF(H$9=0,$F21*IF(H$10&lt;&gt;0,0,1),IF(AND($A21&gt;=H$8,$A21&lt;=H$9),1,0))*IF(ISERROR(MATCH($A21,$G$12:G$12,0)),1,0)</f>
        <v>1</v>
      </c>
      <c r="I21" s="3">
        <f ca="1">IF(I$9=0,$F21*IF(I$10&lt;&gt;0,0,1),IF(AND($A21&gt;=I$8,$A21&lt;=I$9),1,0))*IF(ISERROR(MATCH($A21,$G$12:H$12,0)),1,0)</f>
        <v>1</v>
      </c>
      <c r="J21" s="3">
        <f ca="1">IF(J$9=0,$F21*IF(J$10&lt;&gt;0,0,1),IF(AND($A21&gt;=J$8,$A21&lt;=J$9),1,0))*IF(ISERROR(MATCH($A21,$G$12:I$12,0)),1,0)</f>
        <v>1</v>
      </c>
      <c r="K21" s="3">
        <f ca="1">IF(K$9=0,$F21*IF(K$10&lt;&gt;0,0,1),IF(AND($A21&gt;=K$8,$A21&lt;=K$9),1,0))*IF(ISERROR(MATCH($A21,$G$12:J$12,0)),1,0)</f>
        <v>1</v>
      </c>
      <c r="L21" s="3">
        <f ca="1">SUM(H$15:H21)</f>
        <v>7</v>
      </c>
      <c r="M21" s="3">
        <f ca="1">SUM(I$15:I21)</f>
        <v>6</v>
      </c>
      <c r="N21" s="3">
        <f ca="1">SUM(J$15:J21)</f>
        <v>5</v>
      </c>
      <c r="O21" s="3">
        <f ca="1">SUM(K$15:K21)</f>
        <v>4</v>
      </c>
      <c r="X21">
        <f t="shared" si="11"/>
        <v>7</v>
      </c>
      <c r="Y21" t="str">
        <f t="shared" si="6"/>
        <v>Oracle</v>
      </c>
      <c r="Z21">
        <f t="shared" si="12"/>
        <v>7</v>
      </c>
      <c r="AA21" t="str">
        <f t="shared" si="7"/>
        <v>Oracle</v>
      </c>
      <c r="AB21">
        <f t="shared" si="13"/>
        <v>7</v>
      </c>
      <c r="AC21" t="str">
        <f t="shared" si="8"/>
        <v>Oracle</v>
      </c>
      <c r="AD21">
        <f t="shared" si="14"/>
        <v>7</v>
      </c>
      <c r="AE21" t="str">
        <f t="shared" si="9"/>
        <v>Oracle</v>
      </c>
    </row>
    <row r="22" spans="1:31" x14ac:dyDescent="0.3">
      <c r="A22" s="3">
        <f t="shared" si="10"/>
        <v>8</v>
      </c>
      <c r="B22" s="3" t="str">
        <f t="shared" si="3"/>
        <v>Base</v>
      </c>
      <c r="C22" s="3" t="str">
        <f>INDEX(lang!18:18,1,LNG)</f>
        <v>Harbor</v>
      </c>
      <c r="D22" s="3" t="str">
        <f t="shared" si="4"/>
        <v>Base: Harbor</v>
      </c>
      <c r="E22" s="29">
        <f>IFERROR(INDEX(Options!$Q$9:$Q$12,MATCH(C22,Options!$M$9:$M$12,0)),0)</f>
        <v>0</v>
      </c>
      <c r="F22" s="3">
        <f t="shared" si="5"/>
        <v>1</v>
      </c>
      <c r="G22" s="7"/>
      <c r="H22" s="3">
        <f ca="1">IF(H$9=0,$F22*IF(H$10&lt;&gt;0,0,1),IF(AND($A22&gt;=H$8,$A22&lt;=H$9),1,0))*IF(ISERROR(MATCH($A22,$G$12:G$12,0)),1,0)</f>
        <v>1</v>
      </c>
      <c r="I22" s="3">
        <f ca="1">IF(I$9=0,$F22*IF(I$10&lt;&gt;0,0,1),IF(AND($A22&gt;=I$8,$A22&lt;=I$9),1,0))*IF(ISERROR(MATCH($A22,$G$12:H$12,0)),1,0)</f>
        <v>1</v>
      </c>
      <c r="J22" s="3">
        <f ca="1">IF(J$9=0,$F22*IF(J$10&lt;&gt;0,0,1),IF(AND($A22&gt;=J$8,$A22&lt;=J$9),1,0))*IF(ISERROR(MATCH($A22,$G$12:I$12,0)),1,0)</f>
        <v>1</v>
      </c>
      <c r="K22" s="3">
        <f ca="1">IF(K$9=0,$F22*IF(K$10&lt;&gt;0,0,1),IF(AND($A22&gt;=K$8,$A22&lt;=K$9),1,0))*IF(ISERROR(MATCH($A22,$G$12:J$12,0)),1,0)</f>
        <v>1</v>
      </c>
      <c r="L22" s="3">
        <f ca="1">SUM(H$15:H22)</f>
        <v>8</v>
      </c>
      <c r="M22" s="3">
        <f ca="1">SUM(I$15:I22)</f>
        <v>7</v>
      </c>
      <c r="N22" s="3">
        <f ca="1">SUM(J$15:J22)</f>
        <v>6</v>
      </c>
      <c r="O22" s="3">
        <f ca="1">SUM(K$15:K22)</f>
        <v>5</v>
      </c>
      <c r="X22">
        <f t="shared" si="11"/>
        <v>8</v>
      </c>
      <c r="Y22" t="str">
        <f t="shared" si="6"/>
        <v>Harbor</v>
      </c>
      <c r="Z22">
        <f t="shared" si="12"/>
        <v>8</v>
      </c>
      <c r="AA22" t="str">
        <f t="shared" si="7"/>
        <v>Harbor</v>
      </c>
      <c r="AB22">
        <f t="shared" si="13"/>
        <v>8</v>
      </c>
      <c r="AC22" t="str">
        <f t="shared" si="8"/>
        <v>Harbor</v>
      </c>
      <c r="AD22">
        <f t="shared" si="14"/>
        <v>8</v>
      </c>
      <c r="AE22" t="str">
        <f t="shared" si="9"/>
        <v>Harbor</v>
      </c>
    </row>
    <row r="23" spans="1:31" x14ac:dyDescent="0.3">
      <c r="A23" s="3">
        <f t="shared" si="10"/>
        <v>9</v>
      </c>
      <c r="B23" s="3" t="str">
        <f>$A$4</f>
        <v>Nomads</v>
      </c>
      <c r="C23" s="3" t="str">
        <f>INDEX(lang!19:19,1,LNG)</f>
        <v>Quarry</v>
      </c>
      <c r="D23" s="3" t="str">
        <f t="shared" si="4"/>
        <v>Nomads: Quarry</v>
      </c>
      <c r="E23" s="29">
        <f>IFERROR(INDEX(Options!$Q$9:$Q$12,MATCH(C23,Options!$M$9:$M$12,0)),0)</f>
        <v>0</v>
      </c>
      <c r="F23" s="3">
        <f t="shared" si="5"/>
        <v>0</v>
      </c>
      <c r="G23" s="7"/>
      <c r="H23" s="3">
        <f ca="1">IF(H$9=0,$F23*IF(H$10&lt;&gt;0,0,1),IF(AND($A23&gt;=H$8,$A23&lt;=H$9),1,0))*IF(ISERROR(MATCH($A23,$G$12:G$12,0)),1,0)</f>
        <v>0</v>
      </c>
      <c r="I23" s="3">
        <f ca="1">IF(I$9=0,$F23*IF(I$10&lt;&gt;0,0,1),IF(AND($A23&gt;=I$8,$A23&lt;=I$9),1,0))*IF(ISERROR(MATCH($A23,$G$12:H$12,0)),1,0)</f>
        <v>0</v>
      </c>
      <c r="J23" s="3">
        <f ca="1">IF(J$9=0,$F23*IF(J$10&lt;&gt;0,0,1),IF(AND($A23&gt;=J$8,$A23&lt;=J$9),1,0))*IF(ISERROR(MATCH($A23,$G$12:I$12,0)),1,0)</f>
        <v>0</v>
      </c>
      <c r="K23" s="3">
        <f ca="1">IF(K$9=0,$F23*IF(K$10&lt;&gt;0,0,1),IF(AND($A23&gt;=K$8,$A23&lt;=K$9),1,0))*IF(ISERROR(MATCH($A23,$G$12:J$12,0)),1,0)</f>
        <v>0</v>
      </c>
      <c r="L23" s="3">
        <f ca="1">SUM(H$15:H23)</f>
        <v>8</v>
      </c>
      <c r="M23" s="3">
        <f ca="1">SUM(I$15:I23)</f>
        <v>7</v>
      </c>
      <c r="N23" s="3">
        <f ca="1">SUM(J$15:J23)</f>
        <v>6</v>
      </c>
      <c r="O23" s="3">
        <f ca="1">SUM(K$15:K23)</f>
        <v>5</v>
      </c>
      <c r="X23">
        <v>1</v>
      </c>
      <c r="Y23" t="str">
        <f t="shared" ref="Y23:Y30" si="15">IFERROR(VLOOKUP(X23,$X$15:$Y$22,2,0),"")</f>
        <v>Tavern</v>
      </c>
      <c r="Z23">
        <v>1</v>
      </c>
      <c r="AA23" t="str">
        <f t="shared" ref="AA23:AA30" si="16">IFERROR(VLOOKUP(Z23,$Z$15:$AA$22,2,0),"")</f>
        <v>Tavern</v>
      </c>
      <c r="AB23">
        <v>1</v>
      </c>
      <c r="AC23" t="str">
        <f t="shared" ref="AC23:AC30" si="17">IFERROR(VLOOKUP(AB23,$AB$15:$AC$22,2,0),"")</f>
        <v>Tavern</v>
      </c>
      <c r="AD23">
        <v>1</v>
      </c>
      <c r="AE23" t="str">
        <f t="shared" ref="AE23:AE30" si="18">IFERROR(VLOOKUP(AD23,$AD$15:$AE$22,2,0),"")</f>
        <v>Tavern</v>
      </c>
    </row>
    <row r="24" spans="1:31" x14ac:dyDescent="0.3">
      <c r="A24" s="3">
        <f t="shared" si="10"/>
        <v>10</v>
      </c>
      <c r="B24" s="3" t="str">
        <f>$A$4</f>
        <v>Nomads</v>
      </c>
      <c r="C24" s="3" t="str">
        <f>INDEX(lang!20:20,1,LNG)</f>
        <v>Caravan</v>
      </c>
      <c r="D24" s="3" t="str">
        <f t="shared" si="4"/>
        <v>Nomads: Caravan</v>
      </c>
      <c r="E24" s="29">
        <f>IFERROR(INDEX(Options!$Q$9:$Q$12,MATCH(C24,Options!$M$9:$M$12,0)),0)</f>
        <v>0</v>
      </c>
      <c r="F24" s="3">
        <f t="shared" si="5"/>
        <v>0</v>
      </c>
      <c r="G24" s="7"/>
      <c r="H24" s="3">
        <f ca="1">IF(H$9=0,$F24*IF(H$10&lt;&gt;0,0,1),IF(AND($A24&gt;=H$8,$A24&lt;=H$9),1,0))*IF(ISERROR(MATCH($A24,$G$12:G$12,0)),1,0)</f>
        <v>0</v>
      </c>
      <c r="I24" s="3">
        <f ca="1">IF(I$9=0,$F24*IF(I$10&lt;&gt;0,0,1),IF(AND($A24&gt;=I$8,$A24&lt;=I$9),1,0))*IF(ISERROR(MATCH($A24,$G$12:H$12,0)),1,0)</f>
        <v>0</v>
      </c>
      <c r="J24" s="3">
        <f ca="1">IF(J$9=0,$F24*IF(J$10&lt;&gt;0,0,1),IF(AND($A24&gt;=J$8,$A24&lt;=J$9),1,0))*IF(ISERROR(MATCH($A24,$G$12:I$12,0)),1,0)</f>
        <v>0</v>
      </c>
      <c r="K24" s="3">
        <f ca="1">IF(K$9=0,$F24*IF(K$10&lt;&gt;0,0,1),IF(AND($A24&gt;=K$8,$A24&lt;=K$9),1,0))*IF(ISERROR(MATCH($A24,$G$12:J$12,0)),1,0)</f>
        <v>0</v>
      </c>
      <c r="L24" s="3">
        <f ca="1">SUM(H$15:H24)</f>
        <v>8</v>
      </c>
      <c r="M24" s="3">
        <f ca="1">SUM(I$15:I24)</f>
        <v>7</v>
      </c>
      <c r="N24" s="3">
        <f ca="1">SUM(J$15:J24)</f>
        <v>6</v>
      </c>
      <c r="O24" s="3">
        <f ca="1">SUM(K$15:K24)</f>
        <v>5</v>
      </c>
      <c r="X24">
        <v>2</v>
      </c>
      <c r="Y24" t="str">
        <f t="shared" si="15"/>
        <v>Barn</v>
      </c>
      <c r="Z24">
        <v>2</v>
      </c>
      <c r="AA24" t="str">
        <f t="shared" si="16"/>
        <v>Barn</v>
      </c>
      <c r="AB24">
        <v>2</v>
      </c>
      <c r="AC24" t="str">
        <f t="shared" si="17"/>
        <v>Barn</v>
      </c>
      <c r="AD24">
        <v>2</v>
      </c>
      <c r="AE24" t="str">
        <f t="shared" si="18"/>
        <v>Barn</v>
      </c>
    </row>
    <row r="25" spans="1:31" x14ac:dyDescent="0.3">
      <c r="A25" s="3">
        <f t="shared" si="10"/>
        <v>11</v>
      </c>
      <c r="B25" s="3" t="str">
        <f>$A$4</f>
        <v>Nomads</v>
      </c>
      <c r="C25" s="3" t="str">
        <f>INDEX(lang!21:21,1,LNG)</f>
        <v>Village</v>
      </c>
      <c r="D25" s="3" t="str">
        <f t="shared" si="4"/>
        <v>Nomads: Village</v>
      </c>
      <c r="E25" s="29">
        <f>IFERROR(INDEX(Options!$Q$9:$Q$12,MATCH(C25,Options!$M$9:$M$12,0)),0)</f>
        <v>0</v>
      </c>
      <c r="F25" s="3">
        <f t="shared" si="5"/>
        <v>0</v>
      </c>
      <c r="G25" s="7"/>
      <c r="H25" s="3">
        <f ca="1">IF(H$9=0,$F25*IF(H$10&lt;&gt;0,0,1),IF(AND($A25&gt;=H$8,$A25&lt;=H$9),1,0))*IF(ISERROR(MATCH($A25,$G$12:G$12,0)),1,0)</f>
        <v>0</v>
      </c>
      <c r="I25" s="3">
        <f ca="1">IF(I$9=0,$F25*IF(I$10&lt;&gt;0,0,1),IF(AND($A25&gt;=I$8,$A25&lt;=I$9),1,0))*IF(ISERROR(MATCH($A25,$G$12:H$12,0)),1,0)</f>
        <v>0</v>
      </c>
      <c r="J25" s="3">
        <f ca="1">IF(J$9=0,$F25*IF(J$10&lt;&gt;0,0,1),IF(AND($A25&gt;=J$8,$A25&lt;=J$9),1,0))*IF(ISERROR(MATCH($A25,$G$12:I$12,0)),1,0)</f>
        <v>0</v>
      </c>
      <c r="K25" s="3">
        <f ca="1">IF(K$9=0,$F25*IF(K$10&lt;&gt;0,0,1),IF(AND($A25&gt;=K$8,$A25&lt;=K$9),1,0))*IF(ISERROR(MATCH($A25,$G$12:J$12,0)),1,0)</f>
        <v>0</v>
      </c>
      <c r="L25" s="3">
        <f ca="1">SUM(H$15:H25)</f>
        <v>8</v>
      </c>
      <c r="M25" s="3">
        <f ca="1">SUM(I$15:I25)</f>
        <v>7</v>
      </c>
      <c r="N25" s="3">
        <f ca="1">SUM(J$15:J25)</f>
        <v>6</v>
      </c>
      <c r="O25" s="3">
        <f ca="1">SUM(K$15:K25)</f>
        <v>5</v>
      </c>
      <c r="X25">
        <v>3</v>
      </c>
      <c r="Y25" t="str">
        <f t="shared" si="15"/>
        <v>Farm</v>
      </c>
      <c r="Z25">
        <v>3</v>
      </c>
      <c r="AA25" t="str">
        <f t="shared" si="16"/>
        <v>Farm</v>
      </c>
      <c r="AB25">
        <v>3</v>
      </c>
      <c r="AC25" t="str">
        <f t="shared" si="17"/>
        <v>Farm</v>
      </c>
      <c r="AD25">
        <v>3</v>
      </c>
      <c r="AE25" t="str">
        <f t="shared" si="18"/>
        <v>Farm</v>
      </c>
    </row>
    <row r="26" spans="1:31" x14ac:dyDescent="0.3">
      <c r="A26" s="3">
        <f t="shared" si="10"/>
        <v>12</v>
      </c>
      <c r="B26" s="3" t="str">
        <f>$A$4</f>
        <v>Nomads</v>
      </c>
      <c r="C26" s="3" t="str">
        <f>INDEX(lang!22:22,1,LNG)</f>
        <v>Garden</v>
      </c>
      <c r="D26" s="3" t="str">
        <f t="shared" si="4"/>
        <v>Nomads: Garden</v>
      </c>
      <c r="E26" s="29">
        <f>IFERROR(INDEX(Options!$Q$9:$Q$12,MATCH(C26,Options!$M$9:$M$12,0)),0)</f>
        <v>0</v>
      </c>
      <c r="F26" s="3">
        <f t="shared" si="5"/>
        <v>0</v>
      </c>
      <c r="G26" s="7"/>
      <c r="H26" s="3">
        <f ca="1">IF(H$9=0,$F26*IF(H$10&lt;&gt;0,0,1),IF(AND($A26&gt;=H$8,$A26&lt;=H$9),1,0))*IF(ISERROR(MATCH($A26,$G$12:G$12,0)),1,0)</f>
        <v>0</v>
      </c>
      <c r="I26" s="3">
        <f ca="1">IF(I$9=0,$F26*IF(I$10&lt;&gt;0,0,1),IF(AND($A26&gt;=I$8,$A26&lt;=I$9),1,0))*IF(ISERROR(MATCH($A26,$G$12:H$12,0)),1,0)</f>
        <v>0</v>
      </c>
      <c r="J26" s="3">
        <f ca="1">IF(J$9=0,$F26*IF(J$10&lt;&gt;0,0,1),IF(AND($A26&gt;=J$8,$A26&lt;=J$9),1,0))*IF(ISERROR(MATCH($A26,$G$12:I$12,0)),1,0)</f>
        <v>0</v>
      </c>
      <c r="K26" s="3">
        <f ca="1">IF(K$9=0,$F26*IF(K$10&lt;&gt;0,0,1),IF(AND($A26&gt;=K$8,$A26&lt;=K$9),1,0))*IF(ISERROR(MATCH($A26,$G$12:J$12,0)),1,0)</f>
        <v>0</v>
      </c>
      <c r="L26" s="3">
        <f ca="1">SUM(H$15:H26)</f>
        <v>8</v>
      </c>
      <c r="M26" s="3">
        <f ca="1">SUM(I$15:I26)</f>
        <v>7</v>
      </c>
      <c r="N26" s="3">
        <f ca="1">SUM(J$15:J26)</f>
        <v>6</v>
      </c>
      <c r="O26" s="3">
        <f ca="1">SUM(K$15:K26)</f>
        <v>5</v>
      </c>
      <c r="X26">
        <v>4</v>
      </c>
      <c r="Y26" t="str">
        <f t="shared" si="15"/>
        <v>Oasis</v>
      </c>
      <c r="Z26">
        <v>4</v>
      </c>
      <c r="AA26" t="str">
        <f t="shared" si="16"/>
        <v>Oasis</v>
      </c>
      <c r="AB26">
        <v>4</v>
      </c>
      <c r="AC26" t="str">
        <f t="shared" si="17"/>
        <v>Oasis</v>
      </c>
      <c r="AD26">
        <v>4</v>
      </c>
      <c r="AE26" t="str">
        <f t="shared" si="18"/>
        <v>Oasis</v>
      </c>
    </row>
    <row r="27" spans="1:31" x14ac:dyDescent="0.3">
      <c r="A27" s="3">
        <f t="shared" si="10"/>
        <v>13</v>
      </c>
      <c r="B27" s="3" t="str">
        <f>$A$5</f>
        <v>Crossroads</v>
      </c>
      <c r="C27" s="3" t="str">
        <f>INDEX(lang!23:23,1,LNG)</f>
        <v>Lighthouse/Forester's Lodge</v>
      </c>
      <c r="D27" s="3" t="str">
        <f t="shared" si="4"/>
        <v>Crossroads: Lighthouse/Forester's Lodge</v>
      </c>
      <c r="E27" s="29">
        <f>IFERROR(INDEX(Options!$Q$9:$Q$12,MATCH(C27,Options!$M$9:$M$12,0)),0)</f>
        <v>0</v>
      </c>
      <c r="F27" s="3">
        <f t="shared" si="5"/>
        <v>0</v>
      </c>
      <c r="G27" s="7"/>
      <c r="H27" s="3">
        <f ca="1">IF(H$9=0,$F27*IF(H$10&lt;&gt;0,0,1),IF(AND($A27&gt;=H$8,$A27&lt;=H$9),1,0))*IF(ISERROR(MATCH($A27,$G$12:G$12,0)),1,0)</f>
        <v>0</v>
      </c>
      <c r="I27" s="3">
        <f ca="1">IF(I$9=0,$F27*IF(I$10&lt;&gt;0,0,1),IF(AND($A27&gt;=I$8,$A27&lt;=I$9),1,0))*IF(ISERROR(MATCH($A27,$G$12:H$12,0)),1,0)</f>
        <v>0</v>
      </c>
      <c r="J27" s="3">
        <f ca="1">IF(J$9=0,$F27*IF(J$10&lt;&gt;0,0,1),IF(AND($A27&gt;=J$8,$A27&lt;=J$9),1,0))*IF(ISERROR(MATCH($A27,$G$12:I$12,0)),1,0)</f>
        <v>0</v>
      </c>
      <c r="K27" s="3">
        <f ca="1">IF(K$9=0,$F27*IF(K$10&lt;&gt;0,0,1),IF(AND($A27&gt;=K$8,$A27&lt;=K$9),1,0))*IF(ISERROR(MATCH($A27,$G$12:J$12,0)),1,0)</f>
        <v>0</v>
      </c>
      <c r="L27" s="3">
        <f ca="1">SUM(H$15:H27)</f>
        <v>8</v>
      </c>
      <c r="M27" s="3">
        <f ca="1">SUM(I$15:I27)</f>
        <v>7</v>
      </c>
      <c r="N27" s="3">
        <f ca="1">SUM(J$15:J27)</f>
        <v>6</v>
      </c>
      <c r="O27" s="3">
        <f ca="1">SUM(K$15:K27)</f>
        <v>5</v>
      </c>
      <c r="X27">
        <v>5</v>
      </c>
      <c r="Y27" t="str">
        <f t="shared" si="15"/>
        <v>Paddock</v>
      </c>
      <c r="Z27">
        <v>5</v>
      </c>
      <c r="AA27" t="str">
        <f t="shared" si="16"/>
        <v>Paddock</v>
      </c>
      <c r="AB27">
        <v>5</v>
      </c>
      <c r="AC27" t="str">
        <f t="shared" si="17"/>
        <v>Paddock</v>
      </c>
      <c r="AD27">
        <v>5</v>
      </c>
      <c r="AE27" t="str">
        <f t="shared" si="18"/>
        <v>Paddock</v>
      </c>
    </row>
    <row r="28" spans="1:31" x14ac:dyDescent="0.3">
      <c r="A28" s="3">
        <f t="shared" si="10"/>
        <v>14</v>
      </c>
      <c r="B28" s="3" t="str">
        <f>$A$5</f>
        <v>Crossroads</v>
      </c>
      <c r="C28" s="3" t="str">
        <f>INDEX(lang!24:24,1,LNG)</f>
        <v>Barracks/Crossroads</v>
      </c>
      <c r="D28" s="3" t="str">
        <f t="shared" si="4"/>
        <v>Crossroads: Barracks/Crossroads</v>
      </c>
      <c r="E28" s="29">
        <f>IFERROR(INDEX(Options!$Q$9:$Q$12,MATCH(C28,Options!$M$9:$M$12,0)),0)</f>
        <v>0</v>
      </c>
      <c r="F28" s="3">
        <f t="shared" si="5"/>
        <v>0</v>
      </c>
      <c r="G28" s="7"/>
      <c r="H28" s="3">
        <f ca="1">IF(H$9=0,$F28*IF(H$10&lt;&gt;0,0,1),IF(AND($A28&gt;=H$8,$A28&lt;=H$9),1,0))*IF(ISERROR(MATCH($A28,$G$12:G$12,0)),1,0)</f>
        <v>0</v>
      </c>
      <c r="I28" s="3">
        <f ca="1">IF(I$9=0,$F28*IF(I$10&lt;&gt;0,0,1),IF(AND($A28&gt;=I$8,$A28&lt;=I$9),1,0))*IF(ISERROR(MATCH($A28,$G$12:H$12,0)),1,0)</f>
        <v>0</v>
      </c>
      <c r="J28" s="3">
        <f ca="1">IF(J$9=0,$F28*IF(J$10&lt;&gt;0,0,1),IF(AND($A28&gt;=J$8,$A28&lt;=J$9),1,0))*IF(ISERROR(MATCH($A28,$G$12:I$12,0)),1,0)</f>
        <v>0</v>
      </c>
      <c r="K28" s="3">
        <f ca="1">IF(K$9=0,$F28*IF(K$10&lt;&gt;0,0,1),IF(AND($A28&gt;=K$8,$A28&lt;=K$9),1,0))*IF(ISERROR(MATCH($A28,$G$12:J$12,0)),1,0)</f>
        <v>0</v>
      </c>
      <c r="L28" s="3">
        <f ca="1">SUM(H$15:H28)</f>
        <v>8</v>
      </c>
      <c r="M28" s="3">
        <f ca="1">SUM(I$15:I28)</f>
        <v>7</v>
      </c>
      <c r="N28" s="3">
        <f ca="1">SUM(J$15:J28)</f>
        <v>6</v>
      </c>
      <c r="O28" s="3">
        <f ca="1">SUM(K$15:K28)</f>
        <v>5</v>
      </c>
      <c r="X28">
        <v>6</v>
      </c>
      <c r="Y28" t="str">
        <f t="shared" si="15"/>
        <v>Tower</v>
      </c>
      <c r="Z28">
        <v>6</v>
      </c>
      <c r="AA28" t="str">
        <f t="shared" si="16"/>
        <v>Tower</v>
      </c>
      <c r="AB28">
        <v>6</v>
      </c>
      <c r="AC28" t="str">
        <f t="shared" si="17"/>
        <v>Tower</v>
      </c>
      <c r="AD28">
        <v>6</v>
      </c>
      <c r="AE28" t="str">
        <f t="shared" si="18"/>
        <v>Tower</v>
      </c>
    </row>
    <row r="29" spans="1:31" x14ac:dyDescent="0.3">
      <c r="A29" s="3">
        <f t="shared" si="10"/>
        <v>15</v>
      </c>
      <c r="B29" s="3" t="str">
        <f>$A$5</f>
        <v>Crossroads</v>
      </c>
      <c r="C29" s="3" t="str">
        <f>INDEX(lang!25:25,1,LNG)</f>
        <v>City hall/Fort</v>
      </c>
      <c r="D29" s="3" t="str">
        <f t="shared" si="4"/>
        <v>Crossroads: City hall/Fort</v>
      </c>
      <c r="E29" s="29">
        <f>IFERROR(INDEX(Options!$Q$9:$Q$12,MATCH(C29,Options!$M$9:$M$12,0)),0)</f>
        <v>0</v>
      </c>
      <c r="F29" s="3">
        <f t="shared" si="5"/>
        <v>0</v>
      </c>
      <c r="G29" s="7"/>
      <c r="H29" s="3">
        <f ca="1">IF(H$9=0,$F29*IF(H$10&lt;&gt;0,0,1),IF(AND($A29&gt;=H$8,$A29&lt;=H$9),1,0))*IF(ISERROR(MATCH($A29,$G$12:G$12,0)),1,0)</f>
        <v>0</v>
      </c>
      <c r="I29" s="3">
        <f ca="1">IF(I$9=0,$F29*IF(I$10&lt;&gt;0,0,1),IF(AND($A29&gt;=I$8,$A29&lt;=I$9),1,0))*IF(ISERROR(MATCH($A29,$G$12:H$12,0)),1,0)</f>
        <v>0</v>
      </c>
      <c r="J29" s="3">
        <f ca="1">IF(J$9=0,$F29*IF(J$10&lt;&gt;0,0,1),IF(AND($A29&gt;=J$8,$A29&lt;=J$9),1,0))*IF(ISERROR(MATCH($A29,$G$12:I$12,0)),1,0)</f>
        <v>0</v>
      </c>
      <c r="K29" s="3">
        <f ca="1">IF(K$9=0,$F29*IF(K$10&lt;&gt;0,0,1),IF(AND($A29&gt;=K$8,$A29&lt;=K$9),1,0))*IF(ISERROR(MATCH($A29,$G$12:J$12,0)),1,0)</f>
        <v>0</v>
      </c>
      <c r="L29" s="3">
        <f ca="1">SUM(H$15:H29)</f>
        <v>8</v>
      </c>
      <c r="M29" s="3">
        <f ca="1">SUM(I$15:I29)</f>
        <v>7</v>
      </c>
      <c r="N29" s="3">
        <f ca="1">SUM(J$15:J29)</f>
        <v>6</v>
      </c>
      <c r="O29" s="3">
        <f ca="1">SUM(K$15:K29)</f>
        <v>5</v>
      </c>
      <c r="X29">
        <v>7</v>
      </c>
      <c r="Y29" t="str">
        <f t="shared" si="15"/>
        <v>Oracle</v>
      </c>
      <c r="Z29">
        <v>7</v>
      </c>
      <c r="AA29" t="str">
        <f t="shared" si="16"/>
        <v>Oracle</v>
      </c>
      <c r="AB29">
        <v>7</v>
      </c>
      <c r="AC29" t="str">
        <f t="shared" si="17"/>
        <v>Oracle</v>
      </c>
      <c r="AD29">
        <v>7</v>
      </c>
      <c r="AE29" t="str">
        <f t="shared" si="18"/>
        <v>Oracle</v>
      </c>
    </row>
    <row r="30" spans="1:31" x14ac:dyDescent="0.3">
      <c r="A30" s="3">
        <f t="shared" si="10"/>
        <v>16</v>
      </c>
      <c r="B30" s="3" t="str">
        <f>$A$5</f>
        <v>Crossroads</v>
      </c>
      <c r="C30" s="3" t="str">
        <f>INDEX(lang!26:26,1,LNG)</f>
        <v>Monastery/Wagon</v>
      </c>
      <c r="D30" s="3" t="str">
        <f t="shared" si="4"/>
        <v>Crossroads: Monastery/Wagon</v>
      </c>
      <c r="E30" s="29">
        <f>IFERROR(INDEX(Options!$Q$9:$Q$12,MATCH(C30,Options!$M$9:$M$12,0)),0)</f>
        <v>0</v>
      </c>
      <c r="F30" s="3">
        <f t="shared" si="5"/>
        <v>0</v>
      </c>
      <c r="G30" s="7"/>
      <c r="H30" s="3">
        <f ca="1">IF(H$9=0,$F30*IF(H$10&lt;&gt;0,0,1),IF(AND($A30&gt;=H$8,$A30&lt;=H$9),1,0))*IF(ISERROR(MATCH($A30,$G$12:G$12,0)),1,0)</f>
        <v>0</v>
      </c>
      <c r="I30" s="3">
        <f ca="1">IF(I$9=0,$F30*IF(I$10&lt;&gt;0,0,1),IF(AND($A30&gt;=I$8,$A30&lt;=I$9),1,0))*IF(ISERROR(MATCH($A30,$G$12:H$12,0)),1,0)</f>
        <v>0</v>
      </c>
      <c r="J30" s="3">
        <f ca="1">IF(J$9=0,$F30*IF(J$10&lt;&gt;0,0,1),IF(AND($A30&gt;=J$8,$A30&lt;=J$9),1,0))*IF(ISERROR(MATCH($A30,$G$12:I$12,0)),1,0)</f>
        <v>0</v>
      </c>
      <c r="K30" s="3">
        <f ca="1">IF(K$9=0,$F30*IF(K$10&lt;&gt;0,0,1),IF(AND($A30&gt;=K$8,$A30&lt;=K$9),1,0))*IF(ISERROR(MATCH($A30,$G$12:J$12,0)),1,0)</f>
        <v>0</v>
      </c>
      <c r="L30" s="3">
        <f ca="1">SUM(H$15:H30)</f>
        <v>8</v>
      </c>
      <c r="M30" s="3">
        <f ca="1">SUM(I$15:I30)</f>
        <v>7</v>
      </c>
      <c r="N30" s="3">
        <f ca="1">SUM(J$15:J30)</f>
        <v>6</v>
      </c>
      <c r="O30" s="3">
        <f ca="1">SUM(K$15:K30)</f>
        <v>5</v>
      </c>
      <c r="X30">
        <v>8</v>
      </c>
      <c r="Y30" t="str">
        <f t="shared" si="15"/>
        <v>Harbor</v>
      </c>
      <c r="Z30">
        <v>8</v>
      </c>
      <c r="AA30" t="str">
        <f t="shared" si="16"/>
        <v>Harbor</v>
      </c>
      <c r="AB30">
        <v>8</v>
      </c>
      <c r="AC30" t="str">
        <f t="shared" si="17"/>
        <v>Harbor</v>
      </c>
      <c r="AD30">
        <v>8</v>
      </c>
      <c r="AE30" t="str">
        <f t="shared" si="18"/>
        <v>Harbor</v>
      </c>
    </row>
    <row r="31" spans="1:31" x14ac:dyDescent="0.3">
      <c r="A31" s="3">
        <f t="shared" si="10"/>
        <v>17</v>
      </c>
      <c r="B31" s="3" t="str">
        <f>$A$6</f>
        <v>Marshlands</v>
      </c>
      <c r="C31" s="3" t="str">
        <f>INDEX(lang!27:27,1,LNG)</f>
        <v>Temple</v>
      </c>
      <c r="D31" s="3" t="str">
        <f t="shared" si="4"/>
        <v>Marshlands: Temple</v>
      </c>
      <c r="E31" s="29">
        <f>IFERROR(INDEX(Options!$Q$9:$Q$12,MATCH(C31,Options!$M$9:$M$12,0)),0)</f>
        <v>0</v>
      </c>
      <c r="F31" s="3">
        <f t="shared" si="5"/>
        <v>0</v>
      </c>
      <c r="G31" s="7"/>
      <c r="H31" s="3">
        <f ca="1">IF(H$9=0,$F31*IF(H$10&lt;&gt;0,0,1),IF(AND($A31&gt;=H$8,$A31&lt;=H$9),1,0))*IF(ISERROR(MATCH($A31,$G$12:G$12,0)),1,0)</f>
        <v>0</v>
      </c>
      <c r="I31" s="3">
        <f ca="1">IF(I$9=0,$F31*IF(I$10&lt;&gt;0,0,1),IF(AND($A31&gt;=I$8,$A31&lt;=I$9),1,0))*IF(ISERROR(MATCH($A31,$G$12:H$12,0)),1,0)</f>
        <v>0</v>
      </c>
      <c r="J31" s="3">
        <f ca="1">IF(J$9=0,$F31*IF(J$10&lt;&gt;0,0,1),IF(AND($A31&gt;=J$8,$A31&lt;=J$9),1,0))*IF(ISERROR(MATCH($A31,$G$12:I$12,0)),1,0)</f>
        <v>0</v>
      </c>
      <c r="K31" s="3">
        <f ca="1">IF(K$9=0,$F31*IF(K$10&lt;&gt;0,0,1),IF(AND($A31&gt;=K$8,$A31&lt;=K$9),1,0))*IF(ISERROR(MATCH($A31,$G$12:J$12,0)),1,0)</f>
        <v>0</v>
      </c>
      <c r="L31" s="3">
        <f ca="1">SUM(H$15:H31)</f>
        <v>8</v>
      </c>
      <c r="M31" s="3">
        <f ca="1">SUM(I$15:I31)</f>
        <v>7</v>
      </c>
      <c r="N31" s="3">
        <f ca="1">SUM(J$15:J31)</f>
        <v>6</v>
      </c>
      <c r="O31" s="3">
        <f ca="1">SUM(K$15:K31)</f>
        <v>5</v>
      </c>
      <c r="Y31">
        <v>1</v>
      </c>
      <c r="AA31">
        <v>2</v>
      </c>
      <c r="AC31">
        <v>3</v>
      </c>
      <c r="AE31">
        <v>4</v>
      </c>
    </row>
    <row r="32" spans="1:31" x14ac:dyDescent="0.3">
      <c r="A32" s="3">
        <f t="shared" si="10"/>
        <v>18</v>
      </c>
      <c r="B32" s="3" t="str">
        <f>$A$6</f>
        <v>Marshlands</v>
      </c>
      <c r="C32" s="3" t="str">
        <f>INDEX(lang!28:28,1,LNG)</f>
        <v>Refuge</v>
      </c>
      <c r="D32" s="3" t="str">
        <f t="shared" si="4"/>
        <v>Marshlands: Refuge</v>
      </c>
      <c r="E32" s="29">
        <f>IFERROR(INDEX(Options!$Q$9:$Q$12,MATCH(C32,Options!$M$9:$M$12,0)),0)</f>
        <v>0</v>
      </c>
      <c r="F32" s="3">
        <f t="shared" si="5"/>
        <v>0</v>
      </c>
      <c r="G32" s="7"/>
      <c r="H32" s="3">
        <f ca="1">IF(H$9=0,$F32*IF(H$10&lt;&gt;0,0,1),IF(AND($A32&gt;=H$8,$A32&lt;=H$9),1,0))*IF(ISERROR(MATCH($A32,$G$12:G$12,0)),1,0)</f>
        <v>0</v>
      </c>
      <c r="I32" s="3">
        <f ca="1">IF(I$9=0,$F32*IF(I$10&lt;&gt;0,0,1),IF(AND($A32&gt;=I$8,$A32&lt;=I$9),1,0))*IF(ISERROR(MATCH($A32,$G$12:H$12,0)),1,0)</f>
        <v>0</v>
      </c>
      <c r="J32" s="3">
        <f ca="1">IF(J$9=0,$F32*IF(J$10&lt;&gt;0,0,1),IF(AND($A32&gt;=J$8,$A32&lt;=J$9),1,0))*IF(ISERROR(MATCH($A32,$G$12:I$12,0)),1,0)</f>
        <v>0</v>
      </c>
      <c r="K32" s="3">
        <f ca="1">IF(K$9=0,$F32*IF(K$10&lt;&gt;0,0,1),IF(AND($A32&gt;=K$8,$A32&lt;=K$9),1,0))*IF(ISERROR(MATCH($A32,$G$12:J$12,0)),1,0)</f>
        <v>0</v>
      </c>
      <c r="L32" s="3">
        <f ca="1">SUM(H$15:H32)</f>
        <v>8</v>
      </c>
      <c r="M32" s="3">
        <f ca="1">SUM(I$15:I32)</f>
        <v>7</v>
      </c>
      <c r="N32" s="3">
        <f ca="1">SUM(J$15:J32)</f>
        <v>6</v>
      </c>
      <c r="O32" s="3">
        <f ca="1">SUM(K$15:K32)</f>
        <v>5</v>
      </c>
      <c r="X32">
        <f>IF(Y32="",0,1)</f>
        <v>1</v>
      </c>
      <c r="Y32" t="str">
        <f>IF(AND($E23&gt;0,$E23&lt;&gt;AB$2),"",$C23)</f>
        <v>Quarry</v>
      </c>
      <c r="Z32">
        <f>IF(AA32="",0,1)</f>
        <v>1</v>
      </c>
      <c r="AA32" t="str">
        <f>IF(AND($E23&gt;0,$E23&lt;&gt;AC$2),"",$C23)</f>
        <v>Quarry</v>
      </c>
      <c r="AB32">
        <f>IF(AC32="",0,1)</f>
        <v>1</v>
      </c>
      <c r="AC32" t="str">
        <f>IF(AND($E23&gt;0,$E23&lt;&gt;AD$2),"",$C23)</f>
        <v>Quarry</v>
      </c>
      <c r="AD32">
        <f>IF(AE32="",0,1)</f>
        <v>1</v>
      </c>
      <c r="AE32" t="str">
        <f>IF(AND($E23&gt;0,$E23&lt;&gt;AE$2),"",$C23)</f>
        <v>Quarry</v>
      </c>
    </row>
    <row r="33" spans="1:31" x14ac:dyDescent="0.3">
      <c r="A33" s="3">
        <f t="shared" si="10"/>
        <v>19</v>
      </c>
      <c r="B33" s="3" t="str">
        <f>$A$6</f>
        <v>Marshlands</v>
      </c>
      <c r="C33" s="3" t="str">
        <f>INDEX(lang!29:29,1,LNG)</f>
        <v>Canoe</v>
      </c>
      <c r="D33" s="3" t="str">
        <f t="shared" si="4"/>
        <v>Marshlands: Canoe</v>
      </c>
      <c r="E33" s="29">
        <f>IFERROR(INDEX(Options!$Q$9:$Q$12,MATCH(C33,Options!$M$9:$M$12,0)),0)</f>
        <v>0</v>
      </c>
      <c r="F33" s="3">
        <f t="shared" si="5"/>
        <v>0</v>
      </c>
      <c r="G33" s="7"/>
      <c r="H33" s="3">
        <f ca="1">IF(H$9=0,$F33*IF(H$10&lt;&gt;0,0,1),IF(AND($A33&gt;=H$8,$A33&lt;=H$9),1,0))*IF(ISERROR(MATCH($A33,$G$12:G$12,0)),1,0)</f>
        <v>0</v>
      </c>
      <c r="I33" s="3">
        <f ca="1">IF(I$9=0,$F33*IF(I$10&lt;&gt;0,0,1),IF(AND($A33&gt;=I$8,$A33&lt;=I$9),1,0))*IF(ISERROR(MATCH($A33,$G$12:H$12,0)),1,0)</f>
        <v>0</v>
      </c>
      <c r="J33" s="3">
        <f ca="1">IF(J$9=0,$F33*IF(J$10&lt;&gt;0,0,1),IF(AND($A33&gt;=J$8,$A33&lt;=J$9),1,0))*IF(ISERROR(MATCH($A33,$G$12:I$12,0)),1,0)</f>
        <v>0</v>
      </c>
      <c r="K33" s="3">
        <f ca="1">IF(K$9=0,$F33*IF(K$10&lt;&gt;0,0,1),IF(AND($A33&gt;=K$8,$A33&lt;=K$9),1,0))*IF(ISERROR(MATCH($A33,$G$12:J$12,0)),1,0)</f>
        <v>0</v>
      </c>
      <c r="L33" s="3">
        <f ca="1">SUM(H$15:H33)</f>
        <v>8</v>
      </c>
      <c r="M33" s="3">
        <f ca="1">SUM(I$15:I33)</f>
        <v>7</v>
      </c>
      <c r="N33" s="3">
        <f ca="1">SUM(J$15:J33)</f>
        <v>6</v>
      </c>
      <c r="O33" s="3">
        <f ca="1">SUM(K$15:K33)</f>
        <v>5</v>
      </c>
      <c r="X33">
        <f>IF(Y33="",X32,X32+1)</f>
        <v>2</v>
      </c>
      <c r="Y33" t="str">
        <f>IF(AND($E24&gt;0,$E24&lt;&gt;AB$2),"",$C24)</f>
        <v>Caravan</v>
      </c>
      <c r="Z33">
        <f>IF(AA33="",Z32,Z32+1)</f>
        <v>2</v>
      </c>
      <c r="AA33" t="str">
        <f>IF(AND($E24&gt;0,$E24&lt;&gt;AC$2),"",$C24)</f>
        <v>Caravan</v>
      </c>
      <c r="AB33">
        <f>IF(AC33="",AB32,AB32+1)</f>
        <v>2</v>
      </c>
      <c r="AC33" t="str">
        <f>IF(AND($E24&gt;0,$E24&lt;&gt;AD$2),"",$C24)</f>
        <v>Caravan</v>
      </c>
      <c r="AD33">
        <f>IF(AE33="",AD32,AD32+1)</f>
        <v>2</v>
      </c>
      <c r="AE33" t="str">
        <f>IF(AND($E24&gt;0,$E24&lt;&gt;AE$2),"",$C24)</f>
        <v>Caravan</v>
      </c>
    </row>
    <row r="34" spans="1:31" x14ac:dyDescent="0.3">
      <c r="A34" s="3">
        <f t="shared" si="10"/>
        <v>20</v>
      </c>
      <c r="B34" s="3" t="str">
        <f>$A$6</f>
        <v>Marshlands</v>
      </c>
      <c r="C34" s="3" t="str">
        <f>INDEX(lang!30:30,1,LNG)</f>
        <v>Fountain</v>
      </c>
      <c r="D34" s="3" t="str">
        <f t="shared" si="4"/>
        <v>Marshlands: Fountain</v>
      </c>
      <c r="E34" s="29">
        <f>IFERROR(INDEX(Options!$Q$9:$Q$12,MATCH(C34,Options!$M$9:$M$12,0)),0)</f>
        <v>0</v>
      </c>
      <c r="F34" s="3">
        <f t="shared" si="5"/>
        <v>0</v>
      </c>
      <c r="G34" s="7"/>
      <c r="H34" s="3">
        <f ca="1">IF(H$9=0,$F34*IF(H$10&lt;&gt;0,0,1),IF(AND($A34&gt;=H$8,$A34&lt;=H$9),1,0))*IF(ISERROR(MATCH($A34,$G$12:G$12,0)),1,0)</f>
        <v>0</v>
      </c>
      <c r="I34" s="3">
        <f ca="1">IF(I$9=0,$F34*IF(I$10&lt;&gt;0,0,1),IF(AND($A34&gt;=I$8,$A34&lt;=I$9),1,0))*IF(ISERROR(MATCH($A34,$G$12:H$12,0)),1,0)</f>
        <v>0</v>
      </c>
      <c r="J34" s="3">
        <f ca="1">IF(J$9=0,$F34*IF(J$10&lt;&gt;0,0,1),IF(AND($A34&gt;=J$8,$A34&lt;=J$9),1,0))*IF(ISERROR(MATCH($A34,$G$12:I$12,0)),1,0)</f>
        <v>0</v>
      </c>
      <c r="K34" s="3">
        <f ca="1">IF(K$9=0,$F34*IF(K$10&lt;&gt;0,0,1),IF(AND($A34&gt;=K$8,$A34&lt;=K$9),1,0))*IF(ISERROR(MATCH($A34,$G$12:J$12,0)),1,0)</f>
        <v>0</v>
      </c>
      <c r="L34" s="3">
        <f ca="1">SUM(H$15:H34)</f>
        <v>8</v>
      </c>
      <c r="M34" s="3">
        <f ca="1">SUM(I$15:I34)</f>
        <v>7</v>
      </c>
      <c r="N34" s="3">
        <f ca="1">SUM(J$15:J34)</f>
        <v>6</v>
      </c>
      <c r="O34" s="3">
        <f ca="1">SUM(K$15:K34)</f>
        <v>5</v>
      </c>
      <c r="X34">
        <f t="shared" ref="X34:X35" si="19">IF(Y34="",X33,X33+1)</f>
        <v>3</v>
      </c>
      <c r="Y34" t="str">
        <f>IF(AND($E25&gt;0,$E25&lt;&gt;AB$2),"",$C25)</f>
        <v>Village</v>
      </c>
      <c r="Z34">
        <f t="shared" ref="Z34:Z35" si="20">IF(AA34="",Z33,Z33+1)</f>
        <v>3</v>
      </c>
      <c r="AA34" t="str">
        <f>IF(AND($E25&gt;0,$E25&lt;&gt;AC$2),"",$C25)</f>
        <v>Village</v>
      </c>
      <c r="AB34">
        <f t="shared" ref="AB34:AB35" si="21">IF(AC34="",AB33,AB33+1)</f>
        <v>3</v>
      </c>
      <c r="AC34" t="str">
        <f>IF(AND($E25&gt;0,$E25&lt;&gt;AD$2),"",$C25)</f>
        <v>Village</v>
      </c>
      <c r="AD34">
        <f t="shared" ref="AD34:AD35" si="22">IF(AE34="",AD33,AD33+1)</f>
        <v>3</v>
      </c>
      <c r="AE34" t="str">
        <f>IF(AND($E25&gt;0,$E25&lt;&gt;AE$2),"",$C25)</f>
        <v>Village</v>
      </c>
    </row>
    <row r="35" spans="1:31" x14ac:dyDescent="0.3">
      <c r="A35" s="3">
        <f t="shared" si="10"/>
        <v>21</v>
      </c>
      <c r="B35" s="3" t="str">
        <f>$A$7</f>
        <v>Harvest</v>
      </c>
      <c r="C35" s="3" t="str">
        <f>INDEX(lang!31:31,1,LNG)</f>
        <v>Bazaar/Water mill</v>
      </c>
      <c r="D35" s="3" t="str">
        <f t="shared" si="4"/>
        <v>Harvest: Bazaar/Water mill</v>
      </c>
      <c r="E35" s="29">
        <f>IFERROR(INDEX(Options!$Q$9:$Q$12,MATCH(C35,Options!$M$9:$M$12,0)),0)</f>
        <v>0</v>
      </c>
      <c r="F35" s="3">
        <f t="shared" si="5"/>
        <v>0</v>
      </c>
      <c r="G35" s="7"/>
      <c r="H35" s="3">
        <f ca="1">IF(H$9=0,$F35*IF(H$10&lt;&gt;0,0,1),IF(AND($A35&gt;=H$8,$A35&lt;=H$9),1,0))*IF(ISERROR(MATCH($A35,$G$12:G$12,0)),1,0)</f>
        <v>0</v>
      </c>
      <c r="I35" s="3">
        <f ca="1">IF(I$9=0,$F35*IF(I$10&lt;&gt;0,0,1),IF(AND($A35&gt;=I$8,$A35&lt;=I$9),1,0))*IF(ISERROR(MATCH($A35,$G$12:H$12,0)),1,0)</f>
        <v>0</v>
      </c>
      <c r="J35" s="3">
        <f ca="1">IF(J$9=0,$F35*IF(J$10&lt;&gt;0,0,1),IF(AND($A35&gt;=J$8,$A35&lt;=J$9),1,0))*IF(ISERROR(MATCH($A35,$G$12:I$12,0)),1,0)</f>
        <v>0</v>
      </c>
      <c r="K35" s="3">
        <f ca="1">IF(K$9=0,$F35*IF(K$10&lt;&gt;0,0,1),IF(AND($A35&gt;=K$8,$A35&lt;=K$9),1,0))*IF(ISERROR(MATCH($A35,$G$12:J$12,0)),1,0)</f>
        <v>0</v>
      </c>
      <c r="L35" s="3">
        <f ca="1">SUM(H$15:H35)</f>
        <v>8</v>
      </c>
      <c r="M35" s="3">
        <f ca="1">SUM(I$15:I35)</f>
        <v>7</v>
      </c>
      <c r="N35" s="3">
        <f ca="1">SUM(J$15:J35)</f>
        <v>6</v>
      </c>
      <c r="O35" s="3">
        <f ca="1">SUM(K$15:K35)</f>
        <v>5</v>
      </c>
      <c r="X35">
        <f t="shared" si="19"/>
        <v>4</v>
      </c>
      <c r="Y35" t="str">
        <f>IF(AND($E26&gt;0,$E26&lt;&gt;AB$2),"",$C26)</f>
        <v>Garden</v>
      </c>
      <c r="Z35">
        <f t="shared" si="20"/>
        <v>4</v>
      </c>
      <c r="AA35" t="str">
        <f>IF(AND($E26&gt;0,$E26&lt;&gt;AC$2),"",$C26)</f>
        <v>Garden</v>
      </c>
      <c r="AB35">
        <f t="shared" si="21"/>
        <v>4</v>
      </c>
      <c r="AC35" t="str">
        <f>IF(AND($E26&gt;0,$E26&lt;&gt;AD$2),"",$C26)</f>
        <v>Garden</v>
      </c>
      <c r="AD35">
        <f t="shared" si="22"/>
        <v>4</v>
      </c>
      <c r="AE35" t="str">
        <f>IF(AND($E26&gt;0,$E26&lt;&gt;AE$2),"",$C26)</f>
        <v>Garden</v>
      </c>
    </row>
    <row r="36" spans="1:31" x14ac:dyDescent="0.3">
      <c r="A36" s="3">
        <f t="shared" si="10"/>
        <v>22</v>
      </c>
      <c r="B36" s="3" t="str">
        <f>$A$7</f>
        <v>Harvest</v>
      </c>
      <c r="C36" s="3" t="str">
        <f>INDEX(lang!32:32,1,LNG)</f>
        <v>Mountain station/Scout cabin</v>
      </c>
      <c r="D36" s="3" t="str">
        <f t="shared" si="4"/>
        <v>Harvest: Mountain station/Scout cabin</v>
      </c>
      <c r="E36" s="29">
        <f>IFERROR(INDEX(Options!$Q$9:$Q$12,MATCH(C36,Options!$M$9:$M$12,0)),0)</f>
        <v>0</v>
      </c>
      <c r="F36" s="3">
        <f t="shared" si="5"/>
        <v>0</v>
      </c>
      <c r="G36" s="7"/>
      <c r="H36" s="3">
        <f ca="1">IF(H$9=0,$F36*IF(H$10&lt;&gt;0,0,1),IF(AND($A36&gt;=H$8,$A36&lt;=H$9),1,0))*IF(ISERROR(MATCH($A36,$G$12:G$12,0)),1,0)</f>
        <v>0</v>
      </c>
      <c r="I36" s="3">
        <f ca="1">IF(I$9=0,$F36*IF(I$10&lt;&gt;0,0,1),IF(AND($A36&gt;=I$8,$A36&lt;=I$9),1,0))*IF(ISERROR(MATCH($A36,$G$12:H$12,0)),1,0)</f>
        <v>0</v>
      </c>
      <c r="J36" s="3">
        <f ca="1">IF(J$9=0,$F36*IF(J$10&lt;&gt;0,0,1),IF(AND($A36&gt;=J$8,$A36&lt;=J$9),1,0))*IF(ISERROR(MATCH($A36,$G$12:I$12,0)),1,0)</f>
        <v>0</v>
      </c>
      <c r="K36" s="3">
        <f ca="1">IF(K$9=0,$F36*IF(K$10&lt;&gt;0,0,1),IF(AND($A36&gt;=K$8,$A36&lt;=K$9),1,0))*IF(ISERROR(MATCH($A36,$G$12:J$12,0)),1,0)</f>
        <v>0</v>
      </c>
      <c r="L36" s="3">
        <f ca="1">SUM(H$15:H36)</f>
        <v>8</v>
      </c>
      <c r="M36" s="3">
        <f ca="1">SUM(I$15:I36)</f>
        <v>7</v>
      </c>
      <c r="N36" s="3">
        <f ca="1">SUM(J$15:J36)</f>
        <v>6</v>
      </c>
      <c r="O36" s="3">
        <f ca="1">SUM(K$15:K36)</f>
        <v>5</v>
      </c>
      <c r="X36">
        <v>1</v>
      </c>
      <c r="Y36" t="str">
        <f>IFERROR(VLOOKUP(X36,$X$32:$Y$35,2,0),"")</f>
        <v>Quarry</v>
      </c>
      <c r="Z36">
        <v>1</v>
      </c>
      <c r="AA36" t="str">
        <f>IFERROR(VLOOKUP(Z36,$Z$32:$AA$35,2,0),"")</f>
        <v>Quarry</v>
      </c>
      <c r="AB36">
        <v>1</v>
      </c>
      <c r="AC36" t="str">
        <f>IFERROR(VLOOKUP(AB36,$AB$32:$AC$35,2,0),"")</f>
        <v>Quarry</v>
      </c>
      <c r="AD36">
        <v>1</v>
      </c>
      <c r="AE36" t="str">
        <f>IFERROR(VLOOKUP(AD36,$AD$32:$AE$35,2,0),"")</f>
        <v>Quarry</v>
      </c>
    </row>
    <row r="37" spans="1:31" x14ac:dyDescent="0.3">
      <c r="A37" s="3">
        <f t="shared" si="10"/>
        <v>23</v>
      </c>
      <c r="B37" s="3" t="str">
        <f>$A$7</f>
        <v>Harvest</v>
      </c>
      <c r="C37" s="3" t="str">
        <f>INDEX(lang!33:33,1,LNG)</f>
        <v>Cathedral/Watchtower</v>
      </c>
      <c r="D37" s="3" t="str">
        <f t="shared" si="4"/>
        <v>Harvest: Cathedral/Watchtower</v>
      </c>
      <c r="E37" s="29">
        <f>IFERROR(INDEX(Options!$Q$9:$Q$12,MATCH(C37,Options!$M$9:$M$12,0)),0)</f>
        <v>0</v>
      </c>
      <c r="F37" s="3">
        <f t="shared" si="5"/>
        <v>0</v>
      </c>
      <c r="G37" s="7"/>
      <c r="H37" s="3">
        <f ca="1">IF(H$9=0,$F37*IF(H$10&lt;&gt;0,0,1),IF(AND($A37&gt;=H$8,$A37&lt;=H$9),1,0))*IF(ISERROR(MATCH($A37,$G$12:G$12,0)),1,0)</f>
        <v>0</v>
      </c>
      <c r="I37" s="3">
        <f ca="1">IF(I$9=0,$F37*IF(I$10&lt;&gt;0,0,1),IF(AND($A37&gt;=I$8,$A37&lt;=I$9),1,0))*IF(ISERROR(MATCH($A37,$G$12:H$12,0)),1,0)</f>
        <v>0</v>
      </c>
      <c r="J37" s="3">
        <f ca="1">IF(J$9=0,$F37*IF(J$10&lt;&gt;0,0,1),IF(AND($A37&gt;=J$8,$A37&lt;=J$9),1,0))*IF(ISERROR(MATCH($A37,$G$12:I$12,0)),1,0)</f>
        <v>0</v>
      </c>
      <c r="K37" s="3">
        <f ca="1">IF(K$9=0,$F37*IF(K$10&lt;&gt;0,0,1),IF(AND($A37&gt;=K$8,$A37&lt;=K$9),1,0))*IF(ISERROR(MATCH($A37,$G$12:J$12,0)),1,0)</f>
        <v>0</v>
      </c>
      <c r="L37" s="3">
        <f ca="1">SUM(H$15:H37)</f>
        <v>8</v>
      </c>
      <c r="M37" s="3">
        <f ca="1">SUM(I$15:I37)</f>
        <v>7</v>
      </c>
      <c r="N37" s="3">
        <f ca="1">SUM(J$15:J37)</f>
        <v>6</v>
      </c>
      <c r="O37" s="3">
        <f ca="1">SUM(K$15:K37)</f>
        <v>5</v>
      </c>
      <c r="X37">
        <v>2</v>
      </c>
      <c r="Y37" t="str">
        <f>IFERROR(VLOOKUP(X37,$X$32:$Y$35,2,0),"")</f>
        <v>Caravan</v>
      </c>
      <c r="Z37">
        <v>2</v>
      </c>
      <c r="AA37" t="str">
        <f>IFERROR(VLOOKUP(Z37,$Z$32:$AA$35,2,0),"")</f>
        <v>Caravan</v>
      </c>
      <c r="AB37">
        <v>2</v>
      </c>
      <c r="AC37" t="str">
        <f>IFERROR(VLOOKUP(AB37,$AB$32:$AC$35,2,0),"")</f>
        <v>Caravan</v>
      </c>
      <c r="AD37">
        <v>2</v>
      </c>
      <c r="AE37" t="str">
        <f>IFERROR(VLOOKUP(AD37,$AD$32:$AE$35,2,0),"")</f>
        <v>Caravan</v>
      </c>
    </row>
    <row r="38" spans="1:31" x14ac:dyDescent="0.3">
      <c r="A38" s="3">
        <f t="shared" si="10"/>
        <v>24</v>
      </c>
      <c r="B38" s="3" t="str">
        <f>$A$7</f>
        <v>Harvest</v>
      </c>
      <c r="C38" s="3" t="str">
        <f>INDEX(lang!34:34,1,LNG)</f>
        <v>University/Palisade</v>
      </c>
      <c r="D38" s="3" t="str">
        <f t="shared" si="4"/>
        <v>Harvest: University/Palisade</v>
      </c>
      <c r="E38" s="29">
        <f>IFERROR(INDEX(Options!$Q$9:$Q$12,MATCH(C38,Options!$M$9:$M$12,0)),0)</f>
        <v>0</v>
      </c>
      <c r="F38" s="3">
        <f t="shared" si="5"/>
        <v>0</v>
      </c>
      <c r="G38" s="7"/>
      <c r="H38" s="3">
        <f ca="1">IF(H$9=0,$F38*IF(H$10&lt;&gt;0,0,1),IF(AND($A38&gt;=H$8,$A38&lt;=H$9),1,0))*IF(ISERROR(MATCH($A38,$G$12:G$12,0)),1,0)</f>
        <v>0</v>
      </c>
      <c r="I38" s="3">
        <f ca="1">IF(I$9=0,$F38*IF(I$10&lt;&gt;0,0,1),IF(AND($A38&gt;=I$8,$A38&lt;=I$9),1,0))*IF(ISERROR(MATCH($A38,$G$12:H$12,0)),1,0)</f>
        <v>0</v>
      </c>
      <c r="J38" s="3">
        <f ca="1">IF(J$9=0,$F38*IF(J$10&lt;&gt;0,0,1),IF(AND($A38&gt;=J$8,$A38&lt;=J$9),1,0))*IF(ISERROR(MATCH($A38,$G$12:I$12,0)),1,0)</f>
        <v>0</v>
      </c>
      <c r="K38" s="3">
        <f ca="1">IF(K$9=0,$F38*IF(K$10&lt;&gt;0,0,1),IF(AND($A38&gt;=K$8,$A38&lt;=K$9),1,0))*IF(ISERROR(MATCH($A38,$G$12:J$12,0)),1,0)</f>
        <v>0</v>
      </c>
      <c r="L38" s="3">
        <f ca="1">SUM(H$15:H38)</f>
        <v>8</v>
      </c>
      <c r="M38" s="3">
        <f ca="1">SUM(I$15:I38)</f>
        <v>7</v>
      </c>
      <c r="N38" s="3">
        <f ca="1">SUM(J$15:J38)</f>
        <v>6</v>
      </c>
      <c r="O38" s="3">
        <f ca="1">SUM(K$15:K38)</f>
        <v>5</v>
      </c>
      <c r="X38">
        <v>3</v>
      </c>
      <c r="Y38" t="str">
        <f>IFERROR(VLOOKUP(X38,$X$32:$Y$35,2,0),"")</f>
        <v>Village</v>
      </c>
      <c r="Z38">
        <v>3</v>
      </c>
      <c r="AA38" t="str">
        <f>IFERROR(VLOOKUP(Z38,$Z$32:$AA$35,2,0),"")</f>
        <v>Village</v>
      </c>
      <c r="AB38">
        <v>3</v>
      </c>
      <c r="AC38" t="str">
        <f>IFERROR(VLOOKUP(AB38,$AB$32:$AC$35,2,0),"")</f>
        <v>Village</v>
      </c>
      <c r="AD38">
        <v>3</v>
      </c>
      <c r="AE38" t="str">
        <f>IFERROR(VLOOKUP(AD38,$AD$32:$AE$35,2,0),"")</f>
        <v>Village</v>
      </c>
    </row>
    <row r="39" spans="1:31" x14ac:dyDescent="0.3">
      <c r="A39" s="4"/>
      <c r="B39" s="4"/>
      <c r="C39" s="4"/>
      <c r="D39" s="4"/>
      <c r="E39" s="4"/>
      <c r="F39" s="4"/>
      <c r="G39" s="27"/>
      <c r="X39">
        <v>4</v>
      </c>
      <c r="Y39" t="str">
        <f>IFERROR(VLOOKUP(X39,$X$32:$Y$35,2,0),"")</f>
        <v>Garden</v>
      </c>
      <c r="Z39">
        <v>4</v>
      </c>
      <c r="AA39" t="str">
        <f>IFERROR(VLOOKUP(Z39,$Z$32:$AA$35,2,0),"")</f>
        <v>Garden</v>
      </c>
      <c r="AB39">
        <v>4</v>
      </c>
      <c r="AC39" t="str">
        <f>IFERROR(VLOOKUP(AB39,$AB$32:$AC$35,2,0),"")</f>
        <v>Garden</v>
      </c>
      <c r="AD39">
        <v>4</v>
      </c>
      <c r="AE39" t="str">
        <f>IFERROR(VLOOKUP(AD39,$AD$32:$AE$35,2,0),"")</f>
        <v>Garden</v>
      </c>
    </row>
    <row r="40" spans="1:31" ht="21" customHeight="1" x14ac:dyDescent="0.3">
      <c r="A40" s="213" t="s">
        <v>120</v>
      </c>
      <c r="B40" s="214"/>
      <c r="C40" s="214"/>
      <c r="D40" s="214"/>
      <c r="E40" s="214"/>
      <c r="F40" s="215"/>
      <c r="G40" s="21" t="s">
        <v>26</v>
      </c>
      <c r="H40" s="21">
        <f ca="1">RANDBETWEEN(1,SUM(H42:H45))</f>
        <v>1</v>
      </c>
      <c r="I40" s="21">
        <f ca="1">RANDBETWEEN(1,SUM(I42:I45))</f>
        <v>3</v>
      </c>
      <c r="J40" s="21">
        <f ca="1">RANDBETWEEN(1,SUM(J42:J45))</f>
        <v>2</v>
      </c>
      <c r="K40" s="21">
        <f ca="1">RANDBETWEEN(1,SUM(K42:K45))</f>
        <v>1</v>
      </c>
      <c r="L40" s="192" t="s">
        <v>30</v>
      </c>
      <c r="M40" s="192"/>
      <c r="N40" s="192"/>
      <c r="O40" s="192"/>
      <c r="Y40">
        <v>1</v>
      </c>
      <c r="AA40">
        <v>2</v>
      </c>
      <c r="AC40">
        <v>3</v>
      </c>
      <c r="AE40">
        <v>4</v>
      </c>
    </row>
    <row r="41" spans="1:31" ht="21" customHeight="1" x14ac:dyDescent="0.3">
      <c r="A41" s="216"/>
      <c r="B41" s="217"/>
      <c r="C41" s="217"/>
      <c r="D41" s="217"/>
      <c r="E41" s="217"/>
      <c r="F41" s="218"/>
      <c r="G41" s="21" t="s">
        <v>33</v>
      </c>
      <c r="H41" s="21">
        <f ca="1">INDEX($A$42:$A$45,MATCH(H40,L42:L45,0))</f>
        <v>1</v>
      </c>
      <c r="I41" s="21">
        <f ca="1">INDEX($A$42:$A$45,MATCH(I40,M42:M45,0))</f>
        <v>4</v>
      </c>
      <c r="J41" s="21">
        <f ca="1">INDEX($A$42:$A$45,MATCH(J40,N42:N45,0))</f>
        <v>3</v>
      </c>
      <c r="K41" s="21">
        <f ca="1">INDEX($A$42:$A$45,MATCH(K40,O42:O45,0))</f>
        <v>2</v>
      </c>
      <c r="L41" s="192"/>
      <c r="M41" s="192"/>
      <c r="N41" s="192"/>
      <c r="O41" s="192"/>
      <c r="X41">
        <f>IF(Y41="",0,1)</f>
        <v>1</v>
      </c>
      <c r="Y41" t="str">
        <f>IF(AND($E27&gt;0,$E27&lt;&gt;AB$2),"",$C27)</f>
        <v>Lighthouse/Forester's Lodge</v>
      </c>
      <c r="Z41">
        <f>IF(AA41="",0,1)</f>
        <v>1</v>
      </c>
      <c r="AA41" t="str">
        <f>IF(AND($E27&gt;0,$E27&lt;&gt;AC$2),"",$C27)</f>
        <v>Lighthouse/Forester's Lodge</v>
      </c>
      <c r="AB41">
        <f>IF(AC41="",0,1)</f>
        <v>1</v>
      </c>
      <c r="AC41" t="str">
        <f>IF(AND($E27&gt;0,$E27&lt;&gt;AD$2),"",$C27)</f>
        <v>Lighthouse/Forester's Lodge</v>
      </c>
      <c r="AD41">
        <f>IF(AE41="",0,1)</f>
        <v>1</v>
      </c>
      <c r="AE41" t="str">
        <f>IF(AND($E27&gt;0,$E27&lt;&gt;AE$2),"",$C27)</f>
        <v>Lighthouse/Forester's Lodge</v>
      </c>
    </row>
    <row r="42" spans="1:31" x14ac:dyDescent="0.3">
      <c r="A42" s="3">
        <v>1</v>
      </c>
      <c r="B42" s="7"/>
      <c r="C42" s="189" t="s">
        <v>123</v>
      </c>
      <c r="D42" s="190"/>
      <c r="E42" s="7"/>
      <c r="F42" s="7"/>
      <c r="G42" s="7"/>
      <c r="H42" s="3">
        <v>1</v>
      </c>
      <c r="I42" s="3">
        <f ca="1">IF(ISERROR(MATCH($A42,$G$41:H$41,0)),1,0)</f>
        <v>0</v>
      </c>
      <c r="J42" s="3">
        <f ca="1">IF(ISERROR(MATCH($A42,$G$41:I$41,0)),1,0)</f>
        <v>0</v>
      </c>
      <c r="K42" s="3">
        <f ca="1">IF(ISERROR(MATCH($A42,$G$41:J$41,0)),1,0)</f>
        <v>0</v>
      </c>
      <c r="L42" s="3">
        <f>SUM(H$42:H42)</f>
        <v>1</v>
      </c>
      <c r="M42" s="3">
        <f ca="1">SUM(I$42:I42)</f>
        <v>0</v>
      </c>
      <c r="N42" s="3">
        <f ca="1">SUM(J$42:J42)</f>
        <v>0</v>
      </c>
      <c r="O42" s="3">
        <f ca="1">SUM(K$42:K42)</f>
        <v>0</v>
      </c>
      <c r="X42">
        <f>IF(Y42="",X41,X41+1)</f>
        <v>2</v>
      </c>
      <c r="Y42" t="str">
        <f>IF(AND($E28&gt;0,$E28&lt;&gt;AB$2),"",$C28)</f>
        <v>Barracks/Crossroads</v>
      </c>
      <c r="Z42">
        <f>IF(AA42="",Z41,Z41+1)</f>
        <v>2</v>
      </c>
      <c r="AA42" t="str">
        <f>IF(AND($E28&gt;0,$E28&lt;&gt;AC$2),"",$C28)</f>
        <v>Barracks/Crossroads</v>
      </c>
      <c r="AB42">
        <f>IF(AC42="",AB41,AB41+1)</f>
        <v>2</v>
      </c>
      <c r="AC42" t="str">
        <f>IF(AND($E28&gt;0,$E28&lt;&gt;AD$2),"",$C28)</f>
        <v>Barracks/Crossroads</v>
      </c>
      <c r="AD42">
        <f>IF(AE42="",AD41,AD41+1)</f>
        <v>2</v>
      </c>
      <c r="AE42" t="str">
        <f>IF(AND($E28&gt;0,$E28&lt;&gt;AE$2),"",$C28)</f>
        <v>Barracks/Crossroads</v>
      </c>
    </row>
    <row r="43" spans="1:31" x14ac:dyDescent="0.3">
      <c r="A43" s="3">
        <v>2</v>
      </c>
      <c r="B43" s="7"/>
      <c r="C43" s="15">
        <v>1</v>
      </c>
      <c r="D43" s="15">
        <v>2</v>
      </c>
      <c r="E43" s="7"/>
      <c r="F43" s="7"/>
      <c r="G43" s="7"/>
      <c r="H43" s="3">
        <v>1</v>
      </c>
      <c r="I43" s="3">
        <f ca="1">IF(ISERROR(MATCH($A43,$G$41:H$41,0)),1,0)</f>
        <v>1</v>
      </c>
      <c r="J43" s="3">
        <f ca="1">IF(ISERROR(MATCH($A43,$G$41:I$41,0)),1,0)</f>
        <v>1</v>
      </c>
      <c r="K43" s="3">
        <f ca="1">IF(ISERROR(MATCH($A43,$G$41:J$41,0)),1,0)</f>
        <v>1</v>
      </c>
      <c r="L43" s="3">
        <f>SUM(H$42:H43)</f>
        <v>2</v>
      </c>
      <c r="M43" s="3">
        <f ca="1">SUM(I$42:I43)</f>
        <v>1</v>
      </c>
      <c r="N43" s="3">
        <f ca="1">SUM(J$42:J43)</f>
        <v>1</v>
      </c>
      <c r="O43" s="3">
        <f ca="1">SUM(K$42:K43)</f>
        <v>1</v>
      </c>
      <c r="X43">
        <f t="shared" ref="X43:X44" si="23">IF(Y43="",X42,X42+1)</f>
        <v>3</v>
      </c>
      <c r="Y43" t="str">
        <f>IF(AND($E29&gt;0,$E29&lt;&gt;AB$2),"",$C29)</f>
        <v>City hall/Fort</v>
      </c>
      <c r="Z43">
        <f t="shared" ref="Z43:Z44" si="24">IF(AA43="",Z42,Z42+1)</f>
        <v>3</v>
      </c>
      <c r="AA43" t="str">
        <f>IF(AND($E29&gt;0,$E29&lt;&gt;AC$2),"",$C29)</f>
        <v>City hall/Fort</v>
      </c>
      <c r="AB43">
        <f t="shared" ref="AB43:AB44" si="25">IF(AC43="",AB42,AB42+1)</f>
        <v>3</v>
      </c>
      <c r="AC43" t="str">
        <f>IF(AND($E29&gt;0,$E29&lt;&gt;AD$2),"",$C29)</f>
        <v>City hall/Fort</v>
      </c>
      <c r="AD43">
        <f t="shared" ref="AD43:AD44" si="26">IF(AE43="",AD42,AD42+1)</f>
        <v>3</v>
      </c>
      <c r="AE43" t="str">
        <f>IF(AND($E29&gt;0,$E29&lt;&gt;AE$2),"",$C29)</f>
        <v>City hall/Fort</v>
      </c>
    </row>
    <row r="44" spans="1:31" x14ac:dyDescent="0.3">
      <c r="A44" s="3">
        <v>3</v>
      </c>
      <c r="B44" s="7"/>
      <c r="C44" s="15">
        <v>3</v>
      </c>
      <c r="D44" s="15">
        <v>4</v>
      </c>
      <c r="E44" s="7"/>
      <c r="F44" s="7"/>
      <c r="G44" s="7"/>
      <c r="H44" s="3">
        <v>1</v>
      </c>
      <c r="I44" s="3">
        <f ca="1">IF(ISERROR(MATCH($A44,$G$41:H$41,0)),1,0)</f>
        <v>1</v>
      </c>
      <c r="J44" s="3">
        <f ca="1">IF(ISERROR(MATCH($A44,$G$41:I$41,0)),1,0)</f>
        <v>1</v>
      </c>
      <c r="K44" s="3">
        <f ca="1">IF(ISERROR(MATCH($A44,$G$41:J$41,0)),1,0)</f>
        <v>0</v>
      </c>
      <c r="L44" s="3">
        <f>SUM(H$42:H44)</f>
        <v>3</v>
      </c>
      <c r="M44" s="3">
        <f ca="1">SUM(I$42:I44)</f>
        <v>2</v>
      </c>
      <c r="N44" s="3">
        <f ca="1">SUM(J$42:J44)</f>
        <v>2</v>
      </c>
      <c r="O44" s="3">
        <f ca="1">SUM(K$42:K44)</f>
        <v>1</v>
      </c>
      <c r="X44">
        <f t="shared" si="23"/>
        <v>4</v>
      </c>
      <c r="Y44" t="str">
        <f>IF(AND($E30&gt;0,$E30&lt;&gt;AB$2),"",$C30)</f>
        <v>Monastery/Wagon</v>
      </c>
      <c r="Z44">
        <f t="shared" si="24"/>
        <v>4</v>
      </c>
      <c r="AA44" t="str">
        <f>IF(AND($E30&gt;0,$E30&lt;&gt;AC$2),"",$C30)</f>
        <v>Monastery/Wagon</v>
      </c>
      <c r="AB44">
        <f t="shared" si="25"/>
        <v>4</v>
      </c>
      <c r="AC44" t="str">
        <f>IF(AND($E30&gt;0,$E30&lt;&gt;AD$2),"",$C30)</f>
        <v>Monastery/Wagon</v>
      </c>
      <c r="AD44">
        <f t="shared" si="26"/>
        <v>4</v>
      </c>
      <c r="AE44" t="str">
        <f>IF(AND($E30&gt;0,$E30&lt;&gt;AE$2),"",$C30)</f>
        <v>Monastery/Wagon</v>
      </c>
    </row>
    <row r="45" spans="1:31" x14ac:dyDescent="0.3">
      <c r="A45" s="3">
        <v>4</v>
      </c>
      <c r="B45" s="7"/>
      <c r="C45" s="7"/>
      <c r="D45" s="7"/>
      <c r="E45" s="7"/>
      <c r="F45" s="7"/>
      <c r="G45" s="7"/>
      <c r="H45" s="3">
        <v>1</v>
      </c>
      <c r="I45" s="3">
        <f ca="1">IF(ISERROR(MATCH($A45,$G$41:H$41,0)),1,0)</f>
        <v>1</v>
      </c>
      <c r="J45" s="3">
        <f ca="1">IF(ISERROR(MATCH($A45,$G$41:I$41,0)),1,0)</f>
        <v>0</v>
      </c>
      <c r="K45" s="3">
        <f ca="1">IF(ISERROR(MATCH($A45,$G$41:J$41,0)),1,0)</f>
        <v>0</v>
      </c>
      <c r="L45" s="3">
        <f>SUM(H$42:H45)</f>
        <v>4</v>
      </c>
      <c r="M45" s="3">
        <f ca="1">SUM(I$42:I45)</f>
        <v>3</v>
      </c>
      <c r="N45" s="3">
        <f ca="1">SUM(J$42:J45)</f>
        <v>2</v>
      </c>
      <c r="O45" s="3">
        <f ca="1">SUM(K$42:K45)</f>
        <v>1</v>
      </c>
      <c r="X45">
        <v>1</v>
      </c>
      <c r="Y45" t="str">
        <f>IFERROR(VLOOKUP(X45,$X$41:$Y$44,2,0),"")</f>
        <v>Lighthouse/Forester's Lodge</v>
      </c>
      <c r="Z45">
        <v>1</v>
      </c>
      <c r="AA45" t="str">
        <f>IFERROR(VLOOKUP(Z45,$Z$41:$AA$44,2,0),"")</f>
        <v>Lighthouse/Forester's Lodge</v>
      </c>
      <c r="AB45">
        <v>1</v>
      </c>
      <c r="AC45" t="str">
        <f>IFERROR(VLOOKUP(AB45,$AB$41:$AC$44,2,0),"")</f>
        <v>Lighthouse/Forester's Lodge</v>
      </c>
      <c r="AD45">
        <v>1</v>
      </c>
      <c r="AE45" t="str">
        <f>IFERROR(VLOOKUP(AD45,$AD$41:$AE$44,2,0),"")</f>
        <v>Lighthouse/Forester's Lodge</v>
      </c>
    </row>
    <row r="46" spans="1:31" x14ac:dyDescent="0.3">
      <c r="X46">
        <v>2</v>
      </c>
      <c r="Y46" t="str">
        <f>IFERROR(VLOOKUP(X46,$X$41:$Y$44,2,0),"")</f>
        <v>Barracks/Crossroads</v>
      </c>
      <c r="Z46">
        <v>2</v>
      </c>
      <c r="AA46" t="str">
        <f>IFERROR(VLOOKUP(Z46,$Z$41:$AA$44,2,0),"")</f>
        <v>Barracks/Crossroads</v>
      </c>
      <c r="AB46">
        <v>2</v>
      </c>
      <c r="AC46" t="str">
        <f>IFERROR(VLOOKUP(AB46,$AB$41:$AC$44,2,0),"")</f>
        <v>Barracks/Crossroads</v>
      </c>
      <c r="AD46">
        <v>2</v>
      </c>
      <c r="AE46" t="str">
        <f>IFERROR(VLOOKUP(AD46,$AD$41:$AE$44,2,0),"")</f>
        <v>Barracks/Crossroads</v>
      </c>
    </row>
    <row r="47" spans="1:31" x14ac:dyDescent="0.3">
      <c r="A47" s="23" t="s">
        <v>110</v>
      </c>
      <c r="B47" s="207" t="s">
        <v>117</v>
      </c>
      <c r="C47" s="208"/>
      <c r="D47" s="208"/>
      <c r="E47" s="209"/>
      <c r="F47" s="210"/>
      <c r="G47" s="210"/>
      <c r="H47" s="211" t="s">
        <v>119</v>
      </c>
      <c r="I47" s="211"/>
      <c r="J47" s="211"/>
      <c r="K47" s="211"/>
      <c r="L47" t="s">
        <v>129</v>
      </c>
      <c r="X47">
        <v>3</v>
      </c>
      <c r="Y47" t="str">
        <f>IFERROR(VLOOKUP(X47,$X$41:$Y$44,2,0),"")</f>
        <v>City hall/Fort</v>
      </c>
      <c r="Z47">
        <v>3</v>
      </c>
      <c r="AA47" t="str">
        <f>IFERROR(VLOOKUP(Z47,$Z$41:$AA$44,2,0),"")</f>
        <v>City hall/Fort</v>
      </c>
      <c r="AB47">
        <v>3</v>
      </c>
      <c r="AC47" t="str">
        <f>IFERROR(VLOOKUP(AB47,$AB$41:$AC$44,2,0),"")</f>
        <v>City hall/Fort</v>
      </c>
      <c r="AD47">
        <v>3</v>
      </c>
      <c r="AE47" t="str">
        <f>IFERROR(VLOOKUP(AD47,$AD$41:$AE$44,2,0),"")</f>
        <v>City hall/Fort</v>
      </c>
    </row>
    <row r="48" spans="1:31" x14ac:dyDescent="0.3">
      <c r="A48" s="23" t="s">
        <v>128</v>
      </c>
      <c r="B48" s="24" t="s">
        <v>115</v>
      </c>
      <c r="C48" s="24" t="s">
        <v>112</v>
      </c>
      <c r="D48" s="24" t="s">
        <v>114</v>
      </c>
      <c r="E48" s="24" t="s">
        <v>113</v>
      </c>
      <c r="F48" s="36"/>
      <c r="G48" s="36"/>
      <c r="H48" s="25">
        <v>1</v>
      </c>
      <c r="I48" s="25">
        <v>2</v>
      </c>
      <c r="J48" s="25">
        <v>3</v>
      </c>
      <c r="K48" s="25"/>
      <c r="L48" t="str">
        <f>"'data'!A2"</f>
        <v>'data'!A2</v>
      </c>
      <c r="X48">
        <v>4</v>
      </c>
      <c r="Y48" t="str">
        <f>IFERROR(VLOOKUP(X48,$X$41:$Y$44,2,0),"")</f>
        <v>Monastery/Wagon</v>
      </c>
      <c r="Z48">
        <v>4</v>
      </c>
      <c r="AA48" t="str">
        <f>IFERROR(VLOOKUP(Z48,$Z$41:$AA$44,2,0),"")</f>
        <v>Monastery/Wagon</v>
      </c>
      <c r="AB48">
        <v>4</v>
      </c>
      <c r="AC48" t="str">
        <f>IFERROR(VLOOKUP(AB48,$AB$41:$AC$44,2,0),"")</f>
        <v>Monastery/Wagon</v>
      </c>
      <c r="AD48">
        <v>4</v>
      </c>
      <c r="AE48" t="str">
        <f>IFERROR(VLOOKUP(AD48,$AD$41:$AE$44,2,0),"")</f>
        <v>Monastery/Wagon</v>
      </c>
    </row>
    <row r="49" spans="1:31" x14ac:dyDescent="0.3">
      <c r="A49" s="24" t="str">
        <f>A3</f>
        <v>Base</v>
      </c>
      <c r="B49" s="24">
        <v>10</v>
      </c>
      <c r="C49" s="29">
        <f>IF($E$55,1,IF(Options!D23=lngYES,1,0))</f>
        <v>1</v>
      </c>
      <c r="D49" s="24">
        <f>IF($E$55,0,COUNTIFS($B$60:$B$83,A49,$E$60:$E$83,"&gt;0"))</f>
        <v>0</v>
      </c>
      <c r="E49" s="29">
        <f>IF($E$55,0,Options!D22)</f>
        <v>0</v>
      </c>
      <c r="F49" s="36"/>
      <c r="G49" s="36"/>
      <c r="H49" s="25">
        <f>IF(E49=0,0,1)*IF(H$55=0,1,0)</f>
        <v>0</v>
      </c>
      <c r="I49" s="25">
        <f>IF(H49&gt;0,IF(SUM($H49:H49)=$E49,0,1),0)*IF(I$55=0,1,0)</f>
        <v>0</v>
      </c>
      <c r="J49" s="25">
        <f>IF(I49&gt;0,IF(SUM($H49:I49)=$E49,0,1),0)*IF(J$55=0,1,0)</f>
        <v>0</v>
      </c>
      <c r="K49" s="25"/>
      <c r="L49" t="str">
        <f>"'data'!C60:C69"</f>
        <v>'data'!C60:C69</v>
      </c>
      <c r="Y49">
        <v>1</v>
      </c>
      <c r="AA49">
        <v>2</v>
      </c>
      <c r="AC49">
        <v>3</v>
      </c>
      <c r="AE49">
        <v>4</v>
      </c>
    </row>
    <row r="50" spans="1:31" x14ac:dyDescent="0.3">
      <c r="A50" s="24" t="str">
        <f>A4</f>
        <v>Nomads</v>
      </c>
      <c r="B50" s="24">
        <v>3</v>
      </c>
      <c r="C50" s="29">
        <f>IF($E$55,IF(SUMIF($A$3:$A$7,$A50,$C$3:$C$7)+SUMIF($A$3:$A$7,$A50,$D$3:$D$7)+SUMIF($A$3:$A$7,$A50,$E$3:$E$7)&gt;0,1,0),IF(Options!E23=lngYES,1,0))</f>
        <v>0</v>
      </c>
      <c r="D50" s="24">
        <f>IF($E$55,0,COUNTIFS($B$60:$B$83,A50,$E$60:$E$83,"&gt;0"))</f>
        <v>0</v>
      </c>
      <c r="E50" s="29">
        <f>IF($E$55,0,Options!E22)</f>
        <v>0</v>
      </c>
      <c r="F50" s="36"/>
      <c r="G50" s="36"/>
      <c r="H50" s="25">
        <f>IF(SUM(H$49:H49)=0,IF(E50=0,0,1),0)*IF(H$55=0,1,0)</f>
        <v>0</v>
      </c>
      <c r="I50" s="25">
        <f>IF(AND(SUM($H$49:I49)=SUM($E$49:$E49),SUM(I$49:I49)=0),IF(SUM($H50:H50)&gt;0,IF(SUM($H50:H50)=$E50,0,1),IF($E50=0,0,1)),0)*IF(I$55=0,1,0)</f>
        <v>0</v>
      </c>
      <c r="J50" s="25">
        <f>IF(AND(SUM($H$49:J49)=SUM($E$49:$E49),SUM(J$49:J49)=0),IF(SUM($H50:I50)&gt;0,IF(SUM($H50:I50)=$E50,0,1),IF($E50=0,0,1)),0)*IF(J$55=0,1,0)</f>
        <v>0</v>
      </c>
      <c r="K50" s="25"/>
      <c r="L50" t="str">
        <f>"'data'!C70:C72"</f>
        <v>'data'!C70:C72</v>
      </c>
      <c r="X50">
        <f>IF(Y50="",0,1)</f>
        <v>1</v>
      </c>
      <c r="Y50" t="str">
        <f>IF(AND($E31&gt;0,$E31&lt;&gt;AB$2),"",$C31)</f>
        <v>Temple</v>
      </c>
      <c r="Z50">
        <f>IF(AA50="",0,1)</f>
        <v>1</v>
      </c>
      <c r="AA50" t="str">
        <f>IF(AND($E31&gt;0,$E31&lt;&gt;AC$2),"",$C31)</f>
        <v>Temple</v>
      </c>
      <c r="AB50">
        <f>IF(AC50="",0,1)</f>
        <v>1</v>
      </c>
      <c r="AC50" t="str">
        <f>IF(AND($E31&gt;0,$E31&lt;&gt;AD$2),"",$C31)</f>
        <v>Temple</v>
      </c>
      <c r="AD50">
        <f>IF(AE50="",0,1)</f>
        <v>1</v>
      </c>
      <c r="AE50" t="str">
        <f>IF(AND($E31&gt;0,$E31&lt;&gt;AE$2),"",$C31)</f>
        <v>Temple</v>
      </c>
    </row>
    <row r="51" spans="1:31" x14ac:dyDescent="0.3">
      <c r="A51" s="24" t="str">
        <f>A6</f>
        <v>Marshlands</v>
      </c>
      <c r="B51" s="24">
        <v>6</v>
      </c>
      <c r="C51" s="29">
        <f>IF($E$55,IF(SUMIF($A$3:$A$7,$A51,$C$3:$C$7)+SUMIF($A$3:$A$7,$A51,$D$3:$D$7)+SUMIF($A$3:$A$7,$A51,$E$3:$E$7)&gt;0,1,0),IF(Options!G23=lngYES,1,0))</f>
        <v>0</v>
      </c>
      <c r="D51" s="24">
        <f>IF($E$55,0,COUNTIFS($B$60:$B$83,A51,$E$60:$E$83,"&gt;0"))</f>
        <v>0</v>
      </c>
      <c r="E51" s="29">
        <f>IF($E$55,0,Options!G22)</f>
        <v>0</v>
      </c>
      <c r="F51" s="36"/>
      <c r="G51" s="36"/>
      <c r="H51" s="25">
        <f>IF(SUM(H$49:H50)=0,IF(E51=0,0,1),0)*IF(H$55=0,1,0)</f>
        <v>0</v>
      </c>
      <c r="I51" s="25">
        <f>IF(AND(SUM($H$49:I50)=SUM($E$49:$E50),SUM(I$49:I50)=0),IF(SUM($H51:H51)&gt;0,IF(SUM($H51:H51)=$E51,0,1),IF($E51=0,0,1)),0)*IF(I$55=0,1,0)</f>
        <v>0</v>
      </c>
      <c r="J51" s="25">
        <f>IF(AND(SUM($H$49:J50)=SUM($E$49:$E50),SUM(J$49:J50)=0),IF(SUM($H51:I51)&gt;0,IF(SUM($H51:I51)=$E51,0,1),IF($E51=0,0,1)),0)*IF(J$55=0,1,0)</f>
        <v>0</v>
      </c>
      <c r="K51" s="25"/>
      <c r="L51" t="str">
        <f>"'data'!C73:C78"</f>
        <v>'data'!C73:C78</v>
      </c>
      <c r="X51">
        <f>IF(Y51="",X50,X50+1)</f>
        <v>2</v>
      </c>
      <c r="Y51" t="str">
        <f>IF(AND($E32&gt;0,$E32&lt;&gt;AB$2),"",$C32)</f>
        <v>Refuge</v>
      </c>
      <c r="Z51">
        <f>IF(AA51="",Z50,Z50+1)</f>
        <v>2</v>
      </c>
      <c r="AA51" t="str">
        <f>IF(AND($E32&gt;0,$E32&lt;&gt;AC$2),"",$C32)</f>
        <v>Refuge</v>
      </c>
      <c r="AB51">
        <f>IF(AC51="",AB50,AB50+1)</f>
        <v>2</v>
      </c>
      <c r="AC51" t="str">
        <f>IF(AND($E32&gt;0,$E32&lt;&gt;AD$2),"",$C32)</f>
        <v>Refuge</v>
      </c>
      <c r="AD51">
        <f>IF(AE51="",AD50,AD50+1)</f>
        <v>2</v>
      </c>
      <c r="AE51" t="str">
        <f>IF(AND($E32&gt;0,$E32&lt;&gt;AE$2),"",$C32)</f>
        <v>Refuge</v>
      </c>
    </row>
    <row r="52" spans="1:31" x14ac:dyDescent="0.3">
      <c r="A52" s="24" t="str">
        <f>A7</f>
        <v>Harvest</v>
      </c>
      <c r="B52" s="24">
        <v>6</v>
      </c>
      <c r="C52" s="29">
        <f>IF($E$55,IF(SUMIF($A$3:$A$7,$A52,$C$3:$C$7)+SUMIF($A$3:$A$7,$A52,$D$3:$D$7)+SUMIF($A$3:$A$7,$A52,$E$3:$E$7)&gt;0,1,0),IF(Options!H23=lngYES,1,0))</f>
        <v>0</v>
      </c>
      <c r="D52" s="24">
        <f>IF($E$55,0,COUNTIFS($B$60:$B$83,A52,$E$60:$E$83,"&gt;0"))</f>
        <v>0</v>
      </c>
      <c r="E52" s="29">
        <f>IF($E$55,0,Options!H22)</f>
        <v>0</v>
      </c>
      <c r="F52" s="36"/>
      <c r="G52" s="36"/>
      <c r="H52" s="25">
        <f>IF(SUM(H$49:H51)=0,IF(E52=0,0,1),0)*IF(H$55=0,1,0)</f>
        <v>0</v>
      </c>
      <c r="I52" s="25">
        <f>IF(AND(SUM($H$49:I51)=SUM($E$49:$E51),SUM(I$49:I51)=0),IF(SUM($H52:H52)&gt;0,IF(SUM($H52:H52)=$E52,0,1),IF($E52=0,0,1)),0)*IF(I$55=0,1,0)</f>
        <v>0</v>
      </c>
      <c r="J52" s="25">
        <f>IF(AND(SUM($H$49:J51)=SUM($E$49:$E51),SUM(J$49:J51)=0),IF(SUM($H52:I52)&gt;0,IF(SUM($H52:I52)=$E52,0,1),IF($E52=0,0,1)),0)*IF(J$55=0,1,0)</f>
        <v>0</v>
      </c>
      <c r="K52" s="25"/>
      <c r="L52" t="str">
        <f>"'data'!C79:C84"</f>
        <v>'data'!C79:C84</v>
      </c>
      <c r="X52">
        <f t="shared" ref="X52:X53" si="27">IF(Y52="",X51,X51+1)</f>
        <v>3</v>
      </c>
      <c r="Y52" t="str">
        <f>IF(AND($E33&gt;0,$E33&lt;&gt;AB$2),"",$C33)</f>
        <v>Canoe</v>
      </c>
      <c r="Z52">
        <f t="shared" ref="Z52:Z53" si="28">IF(AA52="",Z51,Z51+1)</f>
        <v>3</v>
      </c>
      <c r="AA52" t="str">
        <f>IF(AND($E33&gt;0,$E33&lt;&gt;AC$2),"",$C33)</f>
        <v>Canoe</v>
      </c>
      <c r="AB52">
        <f t="shared" ref="AB52:AB53" si="29">IF(AC52="",AB51,AB51+1)</f>
        <v>3</v>
      </c>
      <c r="AC52" t="str">
        <f>IF(AND($E33&gt;0,$E33&lt;&gt;AD$2),"",$C33)</f>
        <v>Canoe</v>
      </c>
      <c r="AD52">
        <f t="shared" ref="AD52:AD53" si="30">IF(AE52="",AD51,AD51+1)</f>
        <v>3</v>
      </c>
      <c r="AE52" t="str">
        <f>IF(AND($E33&gt;0,$E33&lt;&gt;AE$2),"",$C33)</f>
        <v>Canoe</v>
      </c>
    </row>
    <row r="53" spans="1:31" x14ac:dyDescent="0.3">
      <c r="A53" s="6"/>
      <c r="B53" t="s">
        <v>116</v>
      </c>
      <c r="C53">
        <f>3-D53-E53</f>
        <v>3</v>
      </c>
      <c r="D53">
        <f>SUM(D49:D52)</f>
        <v>0</v>
      </c>
      <c r="E53">
        <f>SUM(E49:E52)</f>
        <v>0</v>
      </c>
      <c r="F53" s="18"/>
      <c r="G53" s="26" t="s">
        <v>94</v>
      </c>
      <c r="H53" s="22">
        <f ca="1">H54-SUMPRODUCT($B$49:$B$52,H49:H52)+1</f>
        <v>1</v>
      </c>
      <c r="I53" s="22">
        <f ca="1">I54-SUMPRODUCT($B$49:$B$52,I49:I52)+1</f>
        <v>1</v>
      </c>
      <c r="J53" s="22">
        <f ca="1">J54-SUMPRODUCT($B$49:$B$52,J49:J52)+1</f>
        <v>1</v>
      </c>
      <c r="K53" s="22"/>
      <c r="X53">
        <f t="shared" si="27"/>
        <v>4</v>
      </c>
      <c r="Y53" t="str">
        <f>IF(AND($E34&gt;0,$E34&lt;&gt;AB$2),"",$C34)</f>
        <v>Fountain</v>
      </c>
      <c r="Z53">
        <f t="shared" si="28"/>
        <v>4</v>
      </c>
      <c r="AA53" t="str">
        <f>IF(AND($E34&gt;0,$E34&lt;&gt;AC$2),"",$C34)</f>
        <v>Fountain</v>
      </c>
      <c r="AB53">
        <f t="shared" si="29"/>
        <v>4</v>
      </c>
      <c r="AC53" t="str">
        <f>IF(AND($E34&gt;0,$E34&lt;&gt;AD$2),"",$C34)</f>
        <v>Fountain</v>
      </c>
      <c r="AD53">
        <f t="shared" si="30"/>
        <v>4</v>
      </c>
      <c r="AE53" t="str">
        <f>IF(AND($E34&gt;0,$E34&lt;&gt;AE$2),"",$C34)</f>
        <v>Fountain</v>
      </c>
    </row>
    <row r="54" spans="1:31" x14ac:dyDescent="0.3">
      <c r="B54" s="30" t="s">
        <v>147</v>
      </c>
      <c r="C54">
        <f>IF(SUM(D53:E53)&gt;3,1,0)</f>
        <v>0</v>
      </c>
      <c r="E54" t="s">
        <v>173</v>
      </c>
      <c r="G54" s="22" t="s">
        <v>97</v>
      </c>
      <c r="H54" s="22">
        <f ca="1">SUM($B$48:INDIRECT("B"&amp;TEXT(IFERROR(MATCH(1,H$49:H$52,0),0)+48,"0")))</f>
        <v>0</v>
      </c>
      <c r="I54" s="22">
        <f ca="1">SUM($B$48:INDIRECT("B"&amp;TEXT(IFERROR(MATCH(1,I$49:I$52,0),0)+48,"0")))</f>
        <v>0</v>
      </c>
      <c r="J54" s="22">
        <f ca="1">SUM($B$48:INDIRECT("B"&amp;TEXT(IFERROR(MATCH(1,J$49:J$52,0),0)+48,"0")))</f>
        <v>0</v>
      </c>
      <c r="K54" s="22"/>
      <c r="X54">
        <v>1</v>
      </c>
      <c r="Y54" t="str">
        <f>IFERROR(VLOOKUP(X54,$X$50:$Y$53,2,0),"")</f>
        <v>Temple</v>
      </c>
      <c r="Z54">
        <v>1</v>
      </c>
      <c r="AA54" t="str">
        <f>IFERROR(VLOOKUP(Z54,$Z$50:$AA$53,2,0),"")</f>
        <v>Temple</v>
      </c>
      <c r="AB54">
        <v>1</v>
      </c>
      <c r="AC54" t="str">
        <f>IFERROR(VLOOKUP(AB54,$AB$50:$AC$53,2,0),"")</f>
        <v>Temple</v>
      </c>
      <c r="AD54">
        <v>1</v>
      </c>
      <c r="AE54" t="str">
        <f>IFERROR(VLOOKUP(AD54,$AD$50:$AE$53,2,0),"")</f>
        <v>Temple</v>
      </c>
    </row>
    <row r="55" spans="1:31" x14ac:dyDescent="0.3">
      <c r="B55" s="31" t="s">
        <v>148</v>
      </c>
      <c r="C55">
        <f>IF(AND(SUM(C49:C52)=0,SUM(D53:E53)&lt;&gt;3),1,0)</f>
        <v>0</v>
      </c>
      <c r="E55" t="b">
        <f>Options!F18=lngYES</f>
        <v>1</v>
      </c>
      <c r="G55" s="22" t="s">
        <v>93</v>
      </c>
      <c r="H55" s="22">
        <f>IFERROR(LARGE($E$60:$E$84,H48),0)</f>
        <v>0</v>
      </c>
      <c r="I55" s="22">
        <f>IFERROR(LARGE($E$60:$E$84,I48),0)</f>
        <v>0</v>
      </c>
      <c r="J55" s="22">
        <f>IFERROR(LARGE($E$60:$E$84,J48),0)</f>
        <v>0</v>
      </c>
      <c r="K55" s="22"/>
      <c r="X55">
        <v>2</v>
      </c>
      <c r="Y55" t="str">
        <f>IFERROR(VLOOKUP(X55,$X$50:$Y$53,2,0),"")</f>
        <v>Refuge</v>
      </c>
      <c r="Z55">
        <v>2</v>
      </c>
      <c r="AA55" t="str">
        <f>IFERROR(VLOOKUP(Z55,$Z$50:$AA$53,2,0),"")</f>
        <v>Refuge</v>
      </c>
      <c r="AB55">
        <v>2</v>
      </c>
      <c r="AC55" t="str">
        <f>IFERROR(VLOOKUP(AB55,$AB$50:$AC$53,2,0),"")</f>
        <v>Refuge</v>
      </c>
      <c r="AD55">
        <v>2</v>
      </c>
      <c r="AE55" t="str">
        <f>IFERROR(VLOOKUP(AD55,$AD$50:$AE$53,2,0),"")</f>
        <v>Refuge</v>
      </c>
    </row>
    <row r="56" spans="1:31" x14ac:dyDescent="0.3">
      <c r="G56" s="22" t="s">
        <v>26</v>
      </c>
      <c r="H56" s="22">
        <f ca="1">IFERROR(RANDBETWEEN(1,SUM(H60:H83)),0)</f>
        <v>6</v>
      </c>
      <c r="I56" s="22">
        <f ca="1">IFERROR(RANDBETWEEN(1,SUM(I60:I83)),0)</f>
        <v>2</v>
      </c>
      <c r="J56" s="22">
        <f ca="1">IFERROR(RANDBETWEEN(1,SUM(J60:J83)),0)</f>
        <v>5</v>
      </c>
      <c r="K56" s="22"/>
      <c r="R56">
        <f>MATCH(Options!D3,data!R59:R108,0)</f>
        <v>1</v>
      </c>
      <c r="X56">
        <v>3</v>
      </c>
      <c r="Y56" t="str">
        <f>IFERROR(VLOOKUP(X56,$X$50:$Y$53,2,0),"")</f>
        <v>Canoe</v>
      </c>
      <c r="Z56">
        <v>3</v>
      </c>
      <c r="AA56" t="str">
        <f>IFERROR(VLOOKUP(Z56,$Z$50:$AA$53,2,0),"")</f>
        <v>Canoe</v>
      </c>
      <c r="AB56">
        <v>3</v>
      </c>
      <c r="AC56" t="str">
        <f>IFERROR(VLOOKUP(AB56,$AB$50:$AC$53,2,0),"")</f>
        <v>Canoe</v>
      </c>
      <c r="AD56">
        <v>3</v>
      </c>
      <c r="AE56" t="str">
        <f>IFERROR(VLOOKUP(AD56,$AD$50:$AE$53,2,0),"")</f>
        <v>Canoe</v>
      </c>
    </row>
    <row r="57" spans="1:31" x14ac:dyDescent="0.3">
      <c r="G57" s="22" t="s">
        <v>33</v>
      </c>
      <c r="H57" s="22">
        <f ca="1">IF(H55=0,INDEX($A60:$A84,MATCH(H56,L60:L83,0)),INDEX($A$60:$A$84,MATCH(H55,$E$60:$E$84,0)))</f>
        <v>6</v>
      </c>
      <c r="I57" s="22">
        <f ca="1">IF(I55=0,INDEX($A60:$A84,MATCH(I56,M60:M83,0)),INDEX($A$60:$A$84,MATCH(I55,$E$60:$E$84,0)))</f>
        <v>2</v>
      </c>
      <c r="J57" s="22">
        <f ca="1">IF(J55=0,INDEX($A60:$A84,MATCH(J56,N60:N83,0)),INDEX($A$60:$A$84,MATCH(J55,$E$60:$E$84,0)))</f>
        <v>7</v>
      </c>
      <c r="K57" s="22"/>
      <c r="Q57" t="s">
        <v>201</v>
      </c>
      <c r="R57">
        <f>IF(R56=1,1,R56+1)</f>
        <v>1</v>
      </c>
      <c r="X57">
        <v>4</v>
      </c>
      <c r="Y57" t="str">
        <f>IFERROR(VLOOKUP(X57,$X$50:$Y$53,2,0),"")</f>
        <v>Fountain</v>
      </c>
      <c r="Z57">
        <v>4</v>
      </c>
      <c r="AA57" t="str">
        <f>IFERROR(VLOOKUP(Z57,$Z$50:$AA$53,2,0),"")</f>
        <v>Fountain</v>
      </c>
      <c r="AB57">
        <v>4</v>
      </c>
      <c r="AC57" t="str">
        <f>IFERROR(VLOOKUP(AB57,$AB$50:$AC$53,2,0),"")</f>
        <v>Fountain</v>
      </c>
      <c r="AD57">
        <v>4</v>
      </c>
      <c r="AE57" t="str">
        <f>IFERROR(VLOOKUP(AD57,$AD$50:$AE$53,2,0),"")</f>
        <v>Fountain</v>
      </c>
    </row>
    <row r="58" spans="1:31" ht="21" x14ac:dyDescent="0.4">
      <c r="A58" s="201" t="s">
        <v>132</v>
      </c>
      <c r="B58" s="201"/>
      <c r="C58" s="201"/>
      <c r="D58" s="201"/>
      <c r="E58" s="201"/>
      <c r="F58" s="201"/>
      <c r="G58" s="192" t="s">
        <v>122</v>
      </c>
      <c r="H58" s="192"/>
      <c r="I58" s="192"/>
      <c r="J58" s="192"/>
      <c r="K58" s="192"/>
      <c r="L58" s="192" t="s">
        <v>30</v>
      </c>
      <c r="M58" s="192"/>
      <c r="N58" s="192"/>
      <c r="O58" s="192"/>
      <c r="Q58" t="str">
        <f>"'data'!R59:R"&amp;TEXT(58+SUM(data!S59:S108),"0")</f>
        <v>'data'!R59:R60</v>
      </c>
      <c r="R58" t="s">
        <v>172</v>
      </c>
      <c r="Y58">
        <v>1</v>
      </c>
      <c r="AA58">
        <v>2</v>
      </c>
      <c r="AC58">
        <v>3</v>
      </c>
      <c r="AE58">
        <v>4</v>
      </c>
    </row>
    <row r="59" spans="1:31" x14ac:dyDescent="0.3">
      <c r="A59" s="11" t="s">
        <v>109</v>
      </c>
      <c r="B59" s="11" t="s">
        <v>110</v>
      </c>
      <c r="C59" s="11" t="s">
        <v>111</v>
      </c>
      <c r="D59" s="11" t="s">
        <v>86</v>
      </c>
      <c r="E59" s="11" t="s">
        <v>88</v>
      </c>
      <c r="F59" s="28" t="s">
        <v>121</v>
      </c>
      <c r="G59" s="192"/>
      <c r="H59" s="192"/>
      <c r="I59" s="192"/>
      <c r="J59" s="192"/>
      <c r="K59" s="192"/>
      <c r="L59" s="192"/>
      <c r="M59" s="192"/>
      <c r="N59" s="192"/>
      <c r="O59" s="192"/>
      <c r="Q59">
        <v>1</v>
      </c>
      <c r="R59" t="str">
        <f>IFERROR(INDEX(lang!$A$2:$F$2,1,MATCH(Q59,lang!$A$1:$F$1,0)),"")</f>
        <v>English</v>
      </c>
      <c r="S59">
        <f>IF(data!R59="",0,1)</f>
        <v>1</v>
      </c>
      <c r="X59">
        <f>IF(Y59="",0,1)</f>
        <v>1</v>
      </c>
      <c r="Y59" t="str">
        <f>IF(AND($E35&gt;0,$E35&lt;&gt;AB$2),"",$C35)</f>
        <v>Bazaar/Water mill</v>
      </c>
      <c r="Z59">
        <f>IF(AA59="",0,1)</f>
        <v>1</v>
      </c>
      <c r="AA59" t="str">
        <f>IF(AND($E35&gt;0,$E35&lt;&gt;AC$2),"",$C35)</f>
        <v>Bazaar/Water mill</v>
      </c>
      <c r="AB59">
        <f>IF(AC59="",0,1)</f>
        <v>1</v>
      </c>
      <c r="AC59" t="str">
        <f>IF(AND($E35&gt;0,$E35&lt;&gt;AD$2),"",$C35)</f>
        <v>Bazaar/Water mill</v>
      </c>
      <c r="AD59">
        <f>IF(AE59="",0,1)</f>
        <v>1</v>
      </c>
      <c r="AE59" t="str">
        <f>IF(AND($E35&gt;0,$E35&lt;&gt;AE$2),"",$C35)</f>
        <v>Bazaar/Water mill</v>
      </c>
    </row>
    <row r="60" spans="1:31" x14ac:dyDescent="0.3">
      <c r="A60" s="3">
        <v>1</v>
      </c>
      <c r="B60" s="3" t="str">
        <f t="shared" ref="B60:B69" si="31">$A$49</f>
        <v>Base</v>
      </c>
      <c r="C60" s="3" t="str">
        <f>INDEX(lang!36:36,1,LNG)</f>
        <v>Citizens</v>
      </c>
      <c r="D60" s="3" t="str">
        <f t="shared" ref="D60:D84" si="32">B60&amp;": "&amp;C60</f>
        <v>Base: Citizens</v>
      </c>
      <c r="E60" s="29">
        <f>IF($E$55,0,IFERROR(INDEX(Options!$Q$22:$Q$24,MATCH(C60,Options!$M$22:$M$24,0)),0))</f>
        <v>0</v>
      </c>
      <c r="F60" s="3">
        <f t="shared" ref="F60:F84" si="33">IF(E60&lt;&gt;0,0,IF(INDEX($C$49:$C$52,MATCH(B60,$A$49:$A$52,0))=1,1,0))</f>
        <v>1</v>
      </c>
      <c r="G60" s="7"/>
      <c r="H60" s="3">
        <f ca="1">IF(H$54=0,$F60*IF(H$55&lt;&gt;0,0,1),IF(AND($A60&gt;=H$53,$A60&lt;=H$54),1,0))*IF(ISERROR(MATCH($A60,$G$57:G$57,0)),1,0)</f>
        <v>1</v>
      </c>
      <c r="I60" s="3">
        <f ca="1">IF(I$54=0,$F60*IF(I$55&lt;&gt;0,0,1),IF(AND($A60&gt;=I$53,$A60&lt;=I$54),1,0))*IF(ISERROR(MATCH($A60,$G$57:H$57,0)),1,0)</f>
        <v>1</v>
      </c>
      <c r="J60" s="3">
        <f ca="1">IF(J$54=0,$F60*IF(J$55&lt;&gt;0,0,1),IF(AND($A60&gt;=J$53,$A60&lt;=J$54),1,0))*IF(ISERROR(MATCH($A60,$G$57:I$57,0)),1,0)</f>
        <v>1</v>
      </c>
      <c r="K60" s="3"/>
      <c r="L60" s="3">
        <f ca="1">SUM(H$60:H60)</f>
        <v>1</v>
      </c>
      <c r="M60" s="3">
        <f ca="1">SUM(I$60:I60)</f>
        <v>1</v>
      </c>
      <c r="N60" s="3">
        <f ca="1">SUM(J$60:J60)</f>
        <v>1</v>
      </c>
      <c r="O60" s="3"/>
      <c r="Q60">
        <v>2</v>
      </c>
      <c r="R60" t="str">
        <f>IFERROR(INDEX(lang!$A$2:$F$2,1,MATCH(Q60,lang!$A$1:$F$1,0)),"")</f>
        <v>Polski</v>
      </c>
      <c r="S60">
        <f>IF(data!R60="",0,1)</f>
        <v>1</v>
      </c>
      <c r="X60">
        <f>IF(Y60="",X59,X59+1)</f>
        <v>2</v>
      </c>
      <c r="Y60" t="str">
        <f>IF(AND($E36&gt;0,$E36&lt;&gt;AB$2),"",$C36)</f>
        <v>Mountain station/Scout cabin</v>
      </c>
      <c r="Z60">
        <f>IF(AA60="",Z59,Z59+1)</f>
        <v>2</v>
      </c>
      <c r="AA60" t="str">
        <f>IF(AND($E36&gt;0,$E36&lt;&gt;AC$2),"",$C36)</f>
        <v>Mountain station/Scout cabin</v>
      </c>
      <c r="AB60">
        <f>IF(AC60="",AB59,AB59+1)</f>
        <v>2</v>
      </c>
      <c r="AC60" t="str">
        <f>IF(AND($E36&gt;0,$E36&lt;&gt;AD$2),"",$C36)</f>
        <v>Mountain station/Scout cabin</v>
      </c>
      <c r="AD60">
        <f>IF(AE60="",AD59,AD59+1)</f>
        <v>2</v>
      </c>
      <c r="AE60" t="str">
        <f>IF(AND($E36&gt;0,$E36&lt;&gt;AE$2),"",$C36)</f>
        <v>Mountain station/Scout cabin</v>
      </c>
    </row>
    <row r="61" spans="1:31" x14ac:dyDescent="0.3">
      <c r="A61" s="3">
        <f t="shared" ref="A61:A84" si="34">A60+1</f>
        <v>2</v>
      </c>
      <c r="B61" s="3" t="str">
        <f t="shared" si="31"/>
        <v>Base</v>
      </c>
      <c r="C61" s="3" t="str">
        <f>INDEX(lang!37:37,1,LNG)</f>
        <v>Knights</v>
      </c>
      <c r="D61" s="3" t="str">
        <f t="shared" si="32"/>
        <v>Base: Knights</v>
      </c>
      <c r="E61" s="29">
        <f>IF($E$55,0,IFERROR(INDEX(Options!$Q$22:$Q$24,MATCH(C61,Options!$M$22:$M$24,0)),0))</f>
        <v>0</v>
      </c>
      <c r="F61" s="3">
        <f t="shared" si="33"/>
        <v>1</v>
      </c>
      <c r="G61" s="7"/>
      <c r="H61" s="3">
        <f ca="1">IF(H$54=0,$F61*IF(H$55&lt;&gt;0,0,1),IF(AND($A61&gt;=H$53,$A61&lt;=H$54),1,0))*IF(ISERROR(MATCH($A61,$G$57:G$57,0)),1,0)</f>
        <v>1</v>
      </c>
      <c r="I61" s="3">
        <f ca="1">IF(I$54=0,$F61*IF(I$55&lt;&gt;0,0,1),IF(AND($A61&gt;=I$53,$A61&lt;=I$54),1,0))*IF(ISERROR(MATCH($A61,$G$57:H$57,0)),1,0)</f>
        <v>1</v>
      </c>
      <c r="J61" s="3">
        <f ca="1">IF(J$54=0,$F61*IF(J$55&lt;&gt;0,0,1),IF(AND($A61&gt;=J$53,$A61&lt;=J$54),1,0))*IF(ISERROR(MATCH($A61,$G$57:I$57,0)),1,0)</f>
        <v>0</v>
      </c>
      <c r="K61" s="3"/>
      <c r="L61" s="3">
        <f ca="1">SUM(H$60:H61)</f>
        <v>2</v>
      </c>
      <c r="M61" s="3">
        <f ca="1">SUM(I$60:I61)</f>
        <v>2</v>
      </c>
      <c r="N61" s="3">
        <f ca="1">SUM(J$60:J61)</f>
        <v>1</v>
      </c>
      <c r="O61" s="3"/>
      <c r="Q61">
        <v>3</v>
      </c>
      <c r="R61" t="str">
        <f>IFERROR(INDEX(lang!$A$2:$F$2,1,MATCH(Q61,lang!$A$1:$F$1,0)),"")</f>
        <v/>
      </c>
      <c r="S61">
        <f>IF(data!R61="",0,1)</f>
        <v>0</v>
      </c>
      <c r="X61">
        <f t="shared" ref="X61:X62" si="35">IF(Y61="",X60,X60+1)</f>
        <v>3</v>
      </c>
      <c r="Y61" t="str">
        <f>IF(AND($E37&gt;0,$E37&lt;&gt;AB$2),"",$C37)</f>
        <v>Cathedral/Watchtower</v>
      </c>
      <c r="Z61">
        <f t="shared" ref="Z61:Z62" si="36">IF(AA61="",Z60,Z60+1)</f>
        <v>3</v>
      </c>
      <c r="AA61" t="str">
        <f>IF(AND($E37&gt;0,$E37&lt;&gt;AC$2),"",$C37)</f>
        <v>Cathedral/Watchtower</v>
      </c>
      <c r="AB61">
        <f t="shared" ref="AB61:AB62" si="37">IF(AC61="",AB60,AB60+1)</f>
        <v>3</v>
      </c>
      <c r="AC61" t="str">
        <f>IF(AND($E37&gt;0,$E37&lt;&gt;AD$2),"",$C37)</f>
        <v>Cathedral/Watchtower</v>
      </c>
      <c r="AD61">
        <f t="shared" ref="AD61:AD62" si="38">IF(AE61="",AD60,AD60+1)</f>
        <v>3</v>
      </c>
      <c r="AE61" t="str">
        <f>IF(AND($E37&gt;0,$E37&lt;&gt;AE$2),"",$C37)</f>
        <v>Cathedral/Watchtower</v>
      </c>
    </row>
    <row r="62" spans="1:31" x14ac:dyDescent="0.3">
      <c r="A62" s="3">
        <f t="shared" si="34"/>
        <v>3</v>
      </c>
      <c r="B62" s="3" t="str">
        <f t="shared" si="31"/>
        <v>Base</v>
      </c>
      <c r="C62" s="3" t="str">
        <f>INDEX(lang!38:38,1,LNG)</f>
        <v>Discoverers</v>
      </c>
      <c r="D62" s="3" t="str">
        <f t="shared" si="32"/>
        <v>Base: Discoverers</v>
      </c>
      <c r="E62" s="29">
        <f>IF($E$55,0,IFERROR(INDEX(Options!$Q$22:$Q$24,MATCH(C62,Options!$M$22:$M$24,0)),0))</f>
        <v>0</v>
      </c>
      <c r="F62" s="3">
        <f t="shared" si="33"/>
        <v>1</v>
      </c>
      <c r="G62" s="7"/>
      <c r="H62" s="3">
        <f ca="1">IF(H$54=0,$F62*IF(H$55&lt;&gt;0,0,1),IF(AND($A62&gt;=H$53,$A62&lt;=H$54),1,0))*IF(ISERROR(MATCH($A62,$G$57:G$57,0)),1,0)</f>
        <v>1</v>
      </c>
      <c r="I62" s="3">
        <f ca="1">IF(I$54=0,$F62*IF(I$55&lt;&gt;0,0,1),IF(AND($A62&gt;=I$53,$A62&lt;=I$54),1,0))*IF(ISERROR(MATCH($A62,$G$57:H$57,0)),1,0)</f>
        <v>1</v>
      </c>
      <c r="J62" s="3">
        <f ca="1">IF(J$54=0,$F62*IF(J$55&lt;&gt;0,0,1),IF(AND($A62&gt;=J$53,$A62&lt;=J$54),1,0))*IF(ISERROR(MATCH($A62,$G$57:I$57,0)),1,0)</f>
        <v>1</v>
      </c>
      <c r="K62" s="3"/>
      <c r="L62" s="3">
        <f ca="1">SUM(H$60:H62)</f>
        <v>3</v>
      </c>
      <c r="M62" s="3">
        <f ca="1">SUM(I$60:I62)</f>
        <v>3</v>
      </c>
      <c r="N62" s="3">
        <f ca="1">SUM(J$60:J62)</f>
        <v>2</v>
      </c>
      <c r="O62" s="3"/>
      <c r="Q62">
        <f t="shared" ref="Q62:Q108" si="39">Q61+1</f>
        <v>4</v>
      </c>
      <c r="R62" t="str">
        <f>IFERROR(INDEX(lang!$A$2:$F$2,1,MATCH(Q62,lang!$A$1:$F$1,0)),"")</f>
        <v/>
      </c>
      <c r="S62">
        <f>IF(data!R62="",0,1)</f>
        <v>0</v>
      </c>
      <c r="X62">
        <f t="shared" si="35"/>
        <v>4</v>
      </c>
      <c r="Y62" t="str">
        <f>IF(AND($E38&gt;0,$E38&lt;&gt;AB$2),"",$C38)</f>
        <v>University/Palisade</v>
      </c>
      <c r="Z62">
        <f t="shared" si="36"/>
        <v>4</v>
      </c>
      <c r="AA62" t="str">
        <f>IF(AND($E38&gt;0,$E38&lt;&gt;AC$2),"",$C38)</f>
        <v>University/Palisade</v>
      </c>
      <c r="AB62">
        <f t="shared" si="37"/>
        <v>4</v>
      </c>
      <c r="AC62" t="str">
        <f>IF(AND($E38&gt;0,$E38&lt;&gt;AD$2),"",$C38)</f>
        <v>University/Palisade</v>
      </c>
      <c r="AD62">
        <f t="shared" si="38"/>
        <v>4</v>
      </c>
      <c r="AE62" t="str">
        <f>IF(AND($E38&gt;0,$E38&lt;&gt;AE$2),"",$C38)</f>
        <v>University/Palisade</v>
      </c>
    </row>
    <row r="63" spans="1:31" x14ac:dyDescent="0.3">
      <c r="A63" s="3">
        <f t="shared" si="34"/>
        <v>4</v>
      </c>
      <c r="B63" s="3" t="str">
        <f t="shared" si="31"/>
        <v>Base</v>
      </c>
      <c r="C63" s="3" t="str">
        <f>INDEX(lang!39:39,1,LNG)</f>
        <v>Hermits</v>
      </c>
      <c r="D63" s="3" t="str">
        <f t="shared" si="32"/>
        <v>Base: Hermits</v>
      </c>
      <c r="E63" s="29">
        <f>IF($E$55,0,IFERROR(INDEX(Options!$Q$22:$Q$24,MATCH(C63,Options!$M$22:$M$24,0)),0))</f>
        <v>0</v>
      </c>
      <c r="F63" s="3">
        <f t="shared" si="33"/>
        <v>1</v>
      </c>
      <c r="G63" s="7"/>
      <c r="H63" s="3">
        <f ca="1">IF(H$54=0,$F63*IF(H$55&lt;&gt;0,0,1),IF(AND($A63&gt;=H$53,$A63&lt;=H$54),1,0))*IF(ISERROR(MATCH($A63,$G$57:G$57,0)),1,0)</f>
        <v>1</v>
      </c>
      <c r="I63" s="3">
        <f ca="1">IF(I$54=0,$F63*IF(I$55&lt;&gt;0,0,1),IF(AND($A63&gt;=I$53,$A63&lt;=I$54),1,0))*IF(ISERROR(MATCH($A63,$G$57:H$57,0)),1,0)</f>
        <v>1</v>
      </c>
      <c r="J63" s="3">
        <f ca="1">IF(J$54=0,$F63*IF(J$55&lt;&gt;0,0,1),IF(AND($A63&gt;=J$53,$A63&lt;=J$54),1,0))*IF(ISERROR(MATCH($A63,$G$57:I$57,0)),1,0)</f>
        <v>1</v>
      </c>
      <c r="K63" s="3"/>
      <c r="L63" s="3">
        <f ca="1">SUM(H$60:H63)</f>
        <v>4</v>
      </c>
      <c r="M63" s="3">
        <f ca="1">SUM(I$60:I63)</f>
        <v>4</v>
      </c>
      <c r="N63" s="3">
        <f ca="1">SUM(J$60:J63)</f>
        <v>3</v>
      </c>
      <c r="O63" s="3"/>
      <c r="Q63">
        <f t="shared" si="39"/>
        <v>5</v>
      </c>
      <c r="R63" t="str">
        <f>IFERROR(INDEX(lang!$A$2:$F$2,1,MATCH(Q63,lang!$A$1:$F$1,0)),"")</f>
        <v/>
      </c>
      <c r="S63">
        <f>IF(data!R63="",0,1)</f>
        <v>0</v>
      </c>
      <c r="X63">
        <v>1</v>
      </c>
      <c r="Y63" t="str">
        <f>IFERROR(VLOOKUP(X63,$X$59:$Y$62,2,0),"")</f>
        <v>Bazaar/Water mill</v>
      </c>
      <c r="Z63">
        <v>1</v>
      </c>
      <c r="AA63" t="str">
        <f>IFERROR(VLOOKUP(Z63,$Z$59:$AA$62,2,0),"")</f>
        <v>Bazaar/Water mill</v>
      </c>
      <c r="AB63">
        <v>1</v>
      </c>
      <c r="AC63" t="str">
        <f>IFERROR(VLOOKUP(AB63,$AB$59:$AC$62,2,0),"")</f>
        <v>Bazaar/Water mill</v>
      </c>
      <c r="AD63">
        <v>1</v>
      </c>
      <c r="AE63" t="str">
        <f>IFERROR(VLOOKUP(AD63,$AD$59:$AE$62,2,0),"")</f>
        <v>Bazaar/Water mill</v>
      </c>
    </row>
    <row r="64" spans="1:31" x14ac:dyDescent="0.3">
      <c r="A64" s="3">
        <f t="shared" si="34"/>
        <v>5</v>
      </c>
      <c r="B64" s="3" t="str">
        <f t="shared" si="31"/>
        <v>Base</v>
      </c>
      <c r="C64" s="3" t="str">
        <f>INDEX(lang!40:40,1,LNG)</f>
        <v>Farmers</v>
      </c>
      <c r="D64" s="3" t="str">
        <f t="shared" si="32"/>
        <v>Base: Farmers</v>
      </c>
      <c r="E64" s="29">
        <f>IF($E$55,0,IFERROR(INDEX(Options!$Q$22:$Q$24,MATCH(C64,Options!$M$22:$M$24,0)),0))</f>
        <v>0</v>
      </c>
      <c r="F64" s="3">
        <f t="shared" si="33"/>
        <v>1</v>
      </c>
      <c r="G64" s="7"/>
      <c r="H64" s="3">
        <f ca="1">IF(H$54=0,$F64*IF(H$55&lt;&gt;0,0,1),IF(AND($A64&gt;=H$53,$A64&lt;=H$54),1,0))*IF(ISERROR(MATCH($A64,$G$57:G$57,0)),1,0)</f>
        <v>1</v>
      </c>
      <c r="I64" s="3">
        <f ca="1">IF(I$54=0,$F64*IF(I$55&lt;&gt;0,0,1),IF(AND($A64&gt;=I$53,$A64&lt;=I$54),1,0))*IF(ISERROR(MATCH($A64,$G$57:H$57,0)),1,0)</f>
        <v>1</v>
      </c>
      <c r="J64" s="3">
        <f ca="1">IF(J$54=0,$F64*IF(J$55&lt;&gt;0,0,1),IF(AND($A64&gt;=J$53,$A64&lt;=J$54),1,0))*IF(ISERROR(MATCH($A64,$G$57:I$57,0)),1,0)</f>
        <v>1</v>
      </c>
      <c r="K64" s="3"/>
      <c r="L64" s="3">
        <f ca="1">SUM(H$60:H64)</f>
        <v>5</v>
      </c>
      <c r="M64" s="3">
        <f ca="1">SUM(I$60:I64)</f>
        <v>5</v>
      </c>
      <c r="N64" s="3">
        <f ca="1">SUM(J$60:J64)</f>
        <v>4</v>
      </c>
      <c r="O64" s="3"/>
      <c r="Q64">
        <f t="shared" si="39"/>
        <v>6</v>
      </c>
      <c r="R64" t="str">
        <f>IFERROR(INDEX(lang!$A$2:$F$2,1,MATCH(Q64,lang!$A$1:$F$1,0)),"")</f>
        <v/>
      </c>
      <c r="S64">
        <f>IF(data!R64="",0,1)</f>
        <v>0</v>
      </c>
      <c r="X64">
        <v>2</v>
      </c>
      <c r="Y64" t="str">
        <f>IFERROR(VLOOKUP(X64,$X$59:$Y$62,2,0),"")</f>
        <v>Mountain station/Scout cabin</v>
      </c>
      <c r="Z64">
        <v>2</v>
      </c>
      <c r="AA64" t="str">
        <f>IFERROR(VLOOKUP(Z64,$Z$59:$AA$62,2,0),"")</f>
        <v>Mountain station/Scout cabin</v>
      </c>
      <c r="AB64">
        <v>2</v>
      </c>
      <c r="AC64" t="str">
        <f>IFERROR(VLOOKUP(AB64,$AB$59:$AC$62,2,0),"")</f>
        <v>Mountain station/Scout cabin</v>
      </c>
      <c r="AD64">
        <v>2</v>
      </c>
      <c r="AE64" t="str">
        <f>IFERROR(VLOOKUP(AD64,$AD$59:$AE$62,2,0),"")</f>
        <v>Mountain station/Scout cabin</v>
      </c>
    </row>
    <row r="65" spans="1:31" x14ac:dyDescent="0.3">
      <c r="A65" s="3">
        <f t="shared" si="34"/>
        <v>6</v>
      </c>
      <c r="B65" s="3" t="str">
        <f t="shared" si="31"/>
        <v>Base</v>
      </c>
      <c r="C65" s="3" t="str">
        <f>INDEX(lang!41:41,1,LNG)</f>
        <v>Lords</v>
      </c>
      <c r="D65" s="3" t="str">
        <f t="shared" si="32"/>
        <v>Base: Lords</v>
      </c>
      <c r="E65" s="29">
        <f>IF($E$55,0,IFERROR(INDEX(Options!$Q$22:$Q$24,MATCH(C65,Options!$M$22:$M$24,0)),0))</f>
        <v>0</v>
      </c>
      <c r="F65" s="3">
        <f t="shared" si="33"/>
        <v>1</v>
      </c>
      <c r="G65" s="7"/>
      <c r="H65" s="3">
        <f ca="1">IF(H$54=0,$F65*IF(H$55&lt;&gt;0,0,1),IF(AND($A65&gt;=H$53,$A65&lt;=H$54),1,0))*IF(ISERROR(MATCH($A65,$G$57:G$57,0)),1,0)</f>
        <v>1</v>
      </c>
      <c r="I65" s="3">
        <f ca="1">IF(I$54=0,$F65*IF(I$55&lt;&gt;0,0,1),IF(AND($A65&gt;=I$53,$A65&lt;=I$54),1,0))*IF(ISERROR(MATCH($A65,$G$57:H$57,0)),1,0)</f>
        <v>0</v>
      </c>
      <c r="J65" s="3">
        <f ca="1">IF(J$54=0,$F65*IF(J$55&lt;&gt;0,0,1),IF(AND($A65&gt;=J$53,$A65&lt;=J$54),1,0))*IF(ISERROR(MATCH($A65,$G$57:I$57,0)),1,0)</f>
        <v>0</v>
      </c>
      <c r="K65" s="3"/>
      <c r="L65" s="3">
        <f ca="1">SUM(H$60:H65)</f>
        <v>6</v>
      </c>
      <c r="M65" s="3">
        <f ca="1">SUM(I$60:I65)</f>
        <v>5</v>
      </c>
      <c r="N65" s="3">
        <f ca="1">SUM(J$60:J65)</f>
        <v>4</v>
      </c>
      <c r="O65" s="3"/>
      <c r="Q65">
        <f t="shared" si="39"/>
        <v>7</v>
      </c>
      <c r="R65" t="str">
        <f>IFERROR(INDEX(lang!$A$2:$F$2,1,MATCH(Q65,lang!$A$1:$F$1,0)),"")</f>
        <v/>
      </c>
      <c r="S65">
        <f>IF(data!R65="",0,1)</f>
        <v>0</v>
      </c>
      <c r="X65">
        <v>3</v>
      </c>
      <c r="Y65" t="str">
        <f>IFERROR(VLOOKUP(X65,$X$59:$Y$62,2,0),"")</f>
        <v>Cathedral/Watchtower</v>
      </c>
      <c r="Z65">
        <v>3</v>
      </c>
      <c r="AA65" t="str">
        <f>IFERROR(VLOOKUP(Z65,$Z$59:$AA$62,2,0),"")</f>
        <v>Cathedral/Watchtower</v>
      </c>
      <c r="AB65">
        <v>3</v>
      </c>
      <c r="AC65" t="str">
        <f>IFERROR(VLOOKUP(AB65,$AB$59:$AC$62,2,0),"")</f>
        <v>Cathedral/Watchtower</v>
      </c>
      <c r="AD65">
        <v>3</v>
      </c>
      <c r="AE65" t="str">
        <f>IFERROR(VLOOKUP(AD65,$AD$59:$AE$62,2,0),"")</f>
        <v>Cathedral/Watchtower</v>
      </c>
    </row>
    <row r="66" spans="1:31" x14ac:dyDescent="0.3">
      <c r="A66" s="3">
        <f t="shared" si="34"/>
        <v>7</v>
      </c>
      <c r="B66" s="3" t="str">
        <f t="shared" si="31"/>
        <v>Base</v>
      </c>
      <c r="C66" s="3" t="str">
        <f>INDEX(lang!42:42,1,LNG)</f>
        <v>Fishers</v>
      </c>
      <c r="D66" s="3" t="str">
        <f t="shared" si="32"/>
        <v>Base: Fishers</v>
      </c>
      <c r="E66" s="29">
        <f>IF($E$55,0,IFERROR(INDEX(Options!$Q$22:$Q$24,MATCH(C66,Options!$M$22:$M$24,0)),0))</f>
        <v>0</v>
      </c>
      <c r="F66" s="3">
        <f t="shared" si="33"/>
        <v>1</v>
      </c>
      <c r="G66" s="7"/>
      <c r="H66" s="3">
        <f ca="1">IF(H$54=0,$F66*IF(H$55&lt;&gt;0,0,1),IF(AND($A66&gt;=H$53,$A66&lt;=H$54),1,0))*IF(ISERROR(MATCH($A66,$G$57:G$57,0)),1,0)</f>
        <v>1</v>
      </c>
      <c r="I66" s="3">
        <f ca="1">IF(I$54=0,$F66*IF(I$55&lt;&gt;0,0,1),IF(AND($A66&gt;=I$53,$A66&lt;=I$54),1,0))*IF(ISERROR(MATCH($A66,$G$57:H$57,0)),1,0)</f>
        <v>1</v>
      </c>
      <c r="J66" s="3">
        <f ca="1">IF(J$54=0,$F66*IF(J$55&lt;&gt;0,0,1),IF(AND($A66&gt;=J$53,$A66&lt;=J$54),1,0))*IF(ISERROR(MATCH($A66,$G$57:I$57,0)),1,0)</f>
        <v>1</v>
      </c>
      <c r="K66" s="3"/>
      <c r="L66" s="3">
        <f ca="1">SUM(H$60:H66)</f>
        <v>7</v>
      </c>
      <c r="M66" s="3">
        <f ca="1">SUM(I$60:I66)</f>
        <v>6</v>
      </c>
      <c r="N66" s="3">
        <f ca="1">SUM(J$60:J66)</f>
        <v>5</v>
      </c>
      <c r="O66" s="3"/>
      <c r="Q66">
        <f t="shared" si="39"/>
        <v>8</v>
      </c>
      <c r="R66" t="str">
        <f>IFERROR(INDEX(lang!$A$2:$F$2,1,MATCH(Q66,lang!$A$1:$F$1,0)),"")</f>
        <v/>
      </c>
      <c r="S66">
        <f>IF(data!R66="",0,1)</f>
        <v>0</v>
      </c>
      <c r="X66">
        <v>4</v>
      </c>
      <c r="Y66" t="str">
        <f>IFERROR(VLOOKUP(X66,$X$59:$Y$62,2,0),"")</f>
        <v>University/Palisade</v>
      </c>
      <c r="Z66">
        <v>4</v>
      </c>
      <c r="AA66" t="str">
        <f>IFERROR(VLOOKUP(Z66,$Z$59:$AA$62,2,0),"")</f>
        <v>University/Palisade</v>
      </c>
      <c r="AB66">
        <v>4</v>
      </c>
      <c r="AC66" t="str">
        <f>IFERROR(VLOOKUP(AB66,$AB$59:$AC$62,2,0),"")</f>
        <v>University/Palisade</v>
      </c>
      <c r="AD66">
        <v>4</v>
      </c>
      <c r="AE66" t="str">
        <f>IFERROR(VLOOKUP(AD66,$AD$59:$AE$62,2,0),"")</f>
        <v>University/Palisade</v>
      </c>
    </row>
    <row r="67" spans="1:31" x14ac:dyDescent="0.3">
      <c r="A67" s="3">
        <f t="shared" si="34"/>
        <v>8</v>
      </c>
      <c r="B67" s="3" t="str">
        <f t="shared" si="31"/>
        <v>Base</v>
      </c>
      <c r="C67" s="3" t="str">
        <f>INDEX(lang!43:43,1,LNG)</f>
        <v>Miners</v>
      </c>
      <c r="D67" s="3" t="str">
        <f t="shared" si="32"/>
        <v>Base: Miners</v>
      </c>
      <c r="E67" s="29">
        <f>IF($E$55,0,IFERROR(INDEX(Options!$Q$22:$Q$24,MATCH(C67,Options!$M$22:$M$24,0)),0))</f>
        <v>0</v>
      </c>
      <c r="F67" s="3">
        <f t="shared" si="33"/>
        <v>1</v>
      </c>
      <c r="G67" s="7"/>
      <c r="H67" s="3">
        <f ca="1">IF(H$54=0,$F67*IF(H$55&lt;&gt;0,0,1),IF(AND($A67&gt;=H$53,$A67&lt;=H$54),1,0))*IF(ISERROR(MATCH($A67,$G$57:G$57,0)),1,0)</f>
        <v>1</v>
      </c>
      <c r="I67" s="3">
        <f ca="1">IF(I$54=0,$F67*IF(I$55&lt;&gt;0,0,1),IF(AND($A67&gt;=I$53,$A67&lt;=I$54),1,0))*IF(ISERROR(MATCH($A67,$G$57:H$57,0)),1,0)</f>
        <v>1</v>
      </c>
      <c r="J67" s="3">
        <f ca="1">IF(J$54=0,$F67*IF(J$55&lt;&gt;0,0,1),IF(AND($A67&gt;=J$53,$A67&lt;=J$54),1,0))*IF(ISERROR(MATCH($A67,$G$57:I$57,0)),1,0)</f>
        <v>1</v>
      </c>
      <c r="K67" s="3"/>
      <c r="L67" s="3">
        <f ca="1">SUM(H$60:H67)</f>
        <v>8</v>
      </c>
      <c r="M67" s="3">
        <f ca="1">SUM(I$60:I67)</f>
        <v>7</v>
      </c>
      <c r="N67" s="3">
        <f ca="1">SUM(J$60:J67)</f>
        <v>6</v>
      </c>
      <c r="O67" s="3"/>
      <c r="Q67">
        <f t="shared" si="39"/>
        <v>9</v>
      </c>
      <c r="R67" t="str">
        <f>IFERROR(INDEX(lang!$A$2:$F$2,1,MATCH(Q67,lang!$A$1:$F$1,0)),"")</f>
        <v/>
      </c>
      <c r="S67">
        <f>IF(data!R67="",0,1)</f>
        <v>0</v>
      </c>
    </row>
    <row r="68" spans="1:31" x14ac:dyDescent="0.3">
      <c r="A68" s="3">
        <f t="shared" si="34"/>
        <v>9</v>
      </c>
      <c r="B68" s="3" t="str">
        <f t="shared" si="31"/>
        <v>Base</v>
      </c>
      <c r="C68" s="3" t="str">
        <f>INDEX(lang!44:44,1,LNG)</f>
        <v>Merchants</v>
      </c>
      <c r="D68" s="3" t="str">
        <f t="shared" si="32"/>
        <v>Base: Merchants</v>
      </c>
      <c r="E68" s="29">
        <f>IF($E$55,0,IFERROR(INDEX(Options!$Q$22:$Q$24,MATCH(C68,Options!$M$22:$M$24,0)),0))</f>
        <v>0</v>
      </c>
      <c r="F68" s="3">
        <f t="shared" si="33"/>
        <v>1</v>
      </c>
      <c r="G68" s="7"/>
      <c r="H68" s="3">
        <f ca="1">IF(H$54=0,$F68*IF(H$55&lt;&gt;0,0,1),IF(AND($A68&gt;=H$53,$A68&lt;=H$54),1,0))*IF(ISERROR(MATCH($A68,$G$57:G$57,0)),1,0)</f>
        <v>1</v>
      </c>
      <c r="I68" s="3">
        <f ca="1">IF(I$54=0,$F68*IF(I$55&lt;&gt;0,0,1),IF(AND($A68&gt;=I$53,$A68&lt;=I$54),1,0))*IF(ISERROR(MATCH($A68,$G$57:H$57,0)),1,0)</f>
        <v>1</v>
      </c>
      <c r="J68" s="3">
        <f ca="1">IF(J$54=0,$F68*IF(J$55&lt;&gt;0,0,1),IF(AND($A68&gt;=J$53,$A68&lt;=J$54),1,0))*IF(ISERROR(MATCH($A68,$G$57:I$57,0)),1,0)</f>
        <v>1</v>
      </c>
      <c r="K68" s="3"/>
      <c r="L68" s="3">
        <f ca="1">SUM(H$60:H68)</f>
        <v>9</v>
      </c>
      <c r="M68" s="3">
        <f ca="1">SUM(I$60:I68)</f>
        <v>8</v>
      </c>
      <c r="N68" s="3">
        <f ca="1">SUM(J$60:J68)</f>
        <v>7</v>
      </c>
      <c r="O68" s="3"/>
      <c r="Q68">
        <f t="shared" si="39"/>
        <v>10</v>
      </c>
      <c r="R68" t="str">
        <f>IFERROR(INDEX(lang!$A$2:$F$2,1,MATCH(Q68,lang!$A$1:$F$1,0)),"")</f>
        <v/>
      </c>
      <c r="S68">
        <f>IF(data!R68="",0,1)</f>
        <v>0</v>
      </c>
    </row>
    <row r="69" spans="1:31" x14ac:dyDescent="0.3">
      <c r="A69" s="3">
        <f t="shared" si="34"/>
        <v>10</v>
      </c>
      <c r="B69" s="3" t="str">
        <f t="shared" si="31"/>
        <v>Base</v>
      </c>
      <c r="C69" s="3" t="str">
        <f>INDEX(lang!45:45,1,LNG)</f>
        <v>Workers</v>
      </c>
      <c r="D69" s="3" t="str">
        <f t="shared" si="32"/>
        <v>Base: Workers</v>
      </c>
      <c r="E69" s="29">
        <f>IF($E$55,0,IFERROR(INDEX(Options!$Q$22:$Q$24,MATCH(C69,Options!$M$22:$M$24,0)),0))</f>
        <v>0</v>
      </c>
      <c r="F69" s="3">
        <f t="shared" si="33"/>
        <v>1</v>
      </c>
      <c r="G69" s="7"/>
      <c r="H69" s="3">
        <f ca="1">IF(H$54=0,$F69*IF(H$55&lt;&gt;0,0,1),IF(AND($A69&gt;=H$53,$A69&lt;=H$54),1,0))*IF(ISERROR(MATCH($A69,$G$57:G$57,0)),1,0)</f>
        <v>1</v>
      </c>
      <c r="I69" s="3">
        <f ca="1">IF(I$54=0,$F69*IF(I$55&lt;&gt;0,0,1),IF(AND($A69&gt;=I$53,$A69&lt;=I$54),1,0))*IF(ISERROR(MATCH($A69,$G$57:H$57,0)),1,0)</f>
        <v>1</v>
      </c>
      <c r="J69" s="3">
        <f ca="1">IF(J$54=0,$F69*IF(J$55&lt;&gt;0,0,1),IF(AND($A69&gt;=J$53,$A69&lt;=J$54),1,0))*IF(ISERROR(MATCH($A69,$G$57:I$57,0)),1,0)</f>
        <v>1</v>
      </c>
      <c r="K69" s="3"/>
      <c r="L69" s="3">
        <f ca="1">SUM(H$60:H69)</f>
        <v>10</v>
      </c>
      <c r="M69" s="3">
        <f ca="1">SUM(I$60:I69)</f>
        <v>9</v>
      </c>
      <c r="N69" s="3">
        <f ca="1">SUM(J$60:J69)</f>
        <v>8</v>
      </c>
      <c r="O69" s="3"/>
      <c r="Q69">
        <f t="shared" si="39"/>
        <v>11</v>
      </c>
      <c r="R69" t="str">
        <f>IFERROR(INDEX(lang!$A$2:$F$2,1,MATCH(Q69,lang!$A$1:$F$1,0)),"")</f>
        <v/>
      </c>
      <c r="S69">
        <f>IF(data!R69="",0,1)</f>
        <v>0</v>
      </c>
      <c r="Y69">
        <v>1</v>
      </c>
      <c r="AA69">
        <v>2</v>
      </c>
      <c r="AC69">
        <v>3</v>
      </c>
    </row>
    <row r="70" spans="1:31" x14ac:dyDescent="0.3">
      <c r="A70" s="3">
        <f t="shared" si="34"/>
        <v>11</v>
      </c>
      <c r="B70" s="3" t="str">
        <f>$A$50</f>
        <v>Nomads</v>
      </c>
      <c r="C70" s="3" t="str">
        <f>INDEX(lang!46:46,1,LNG)</f>
        <v>Families</v>
      </c>
      <c r="D70" s="3" t="str">
        <f t="shared" si="32"/>
        <v>Nomads: Families</v>
      </c>
      <c r="E70" s="29">
        <f>IF($E$55,0,IFERROR(INDEX(Options!$Q$22:$Q$24,MATCH(C70,Options!$M$22:$M$24,0)),0))</f>
        <v>0</v>
      </c>
      <c r="F70" s="3">
        <f t="shared" si="33"/>
        <v>0</v>
      </c>
      <c r="G70" s="7"/>
      <c r="H70" s="3">
        <f ca="1">IF(H$54=0,$F70*IF(H$55&lt;&gt;0,0,1),IF(AND($A70&gt;=H$53,$A70&lt;=H$54),1,0))*IF(ISERROR(MATCH($A70,$G$57:G$57,0)),1,0)</f>
        <v>0</v>
      </c>
      <c r="I70" s="3">
        <f ca="1">IF(I$54=0,$F70*IF(I$55&lt;&gt;0,0,1),IF(AND($A70&gt;=I$53,$A70&lt;=I$54),1,0))*IF(ISERROR(MATCH($A70,$G$57:H$57,0)),1,0)</f>
        <v>0</v>
      </c>
      <c r="J70" s="3">
        <f ca="1">IF(J$54=0,$F70*IF(J$55&lt;&gt;0,0,1),IF(AND($A70&gt;=J$53,$A70&lt;=J$54),1,0))*IF(ISERROR(MATCH($A70,$G$57:I$57,0)),1,0)</f>
        <v>0</v>
      </c>
      <c r="K70" s="3"/>
      <c r="L70" s="3">
        <f ca="1">SUM(H$60:H70)</f>
        <v>10</v>
      </c>
      <c r="M70" s="3">
        <f ca="1">SUM(I$60:I70)</f>
        <v>9</v>
      </c>
      <c r="N70" s="3">
        <f ca="1">SUM(J$60:J70)</f>
        <v>8</v>
      </c>
      <c r="O70" s="3"/>
      <c r="Q70">
        <f t="shared" si="39"/>
        <v>12</v>
      </c>
      <c r="R70" t="str">
        <f>IFERROR(INDEX(lang!$A$2:$F$2,1,MATCH(Q70,lang!$A$1:$F$1,0)),"")</f>
        <v/>
      </c>
      <c r="S70">
        <f>IF(data!R70="",0,1)</f>
        <v>0</v>
      </c>
      <c r="X70">
        <f t="shared" ref="X70:X79" si="40">IF(Y70="",X69,X69+1)</f>
        <v>1</v>
      </c>
      <c r="Y70" t="str">
        <f t="shared" ref="Y70:Y79" si="41">IF(AND($E60&gt;0,$E60&lt;&gt;AB$2),"",$C60)</f>
        <v>Citizens</v>
      </c>
      <c r="Z70">
        <f t="shared" ref="Z70:Z79" si="42">IF(AA70="",Z69,Z69+1)</f>
        <v>1</v>
      </c>
      <c r="AA70" t="str">
        <f t="shared" ref="AA70:AA79" si="43">IF(AND($E60&gt;0,$E60&lt;&gt;AC$2),"",$C60)</f>
        <v>Citizens</v>
      </c>
      <c r="AB70">
        <f t="shared" ref="AB70" si="44">IF(AC70="",AB69,AB69+1)</f>
        <v>1</v>
      </c>
      <c r="AC70" t="str">
        <f t="shared" ref="AC70:AC79" si="45">IF(AND($E60&gt;0,$E60&lt;&gt;AD$2),"",$C60)</f>
        <v>Citizens</v>
      </c>
    </row>
    <row r="71" spans="1:31" x14ac:dyDescent="0.3">
      <c r="A71" s="3">
        <f t="shared" si="34"/>
        <v>12</v>
      </c>
      <c r="B71" s="3" t="str">
        <f>$A$50</f>
        <v>Nomads</v>
      </c>
      <c r="C71" s="3" t="str">
        <f>INDEX(lang!47:47,1,LNG)</f>
        <v>Shepherds</v>
      </c>
      <c r="D71" s="3" t="str">
        <f t="shared" si="32"/>
        <v>Nomads: Shepherds</v>
      </c>
      <c r="E71" s="29">
        <f>IF($E$55,0,IFERROR(INDEX(Options!$Q$22:$Q$24,MATCH(C71,Options!$M$22:$M$24,0)),0))</f>
        <v>0</v>
      </c>
      <c r="F71" s="3">
        <f t="shared" si="33"/>
        <v>0</v>
      </c>
      <c r="G71" s="7"/>
      <c r="H71" s="3">
        <f ca="1">IF(H$54=0,$F71*IF(H$55&lt;&gt;0,0,1),IF(AND($A71&gt;=H$53,$A71&lt;=H$54),1,0))*IF(ISERROR(MATCH($A71,$G$57:G$57,0)),1,0)</f>
        <v>0</v>
      </c>
      <c r="I71" s="3">
        <f ca="1">IF(I$54=0,$F71*IF(I$55&lt;&gt;0,0,1),IF(AND($A71&gt;=I$53,$A71&lt;=I$54),1,0))*IF(ISERROR(MATCH($A71,$G$57:H$57,0)),1,0)</f>
        <v>0</v>
      </c>
      <c r="J71" s="3">
        <f ca="1">IF(J$54=0,$F71*IF(J$55&lt;&gt;0,0,1),IF(AND($A71&gt;=J$53,$A71&lt;=J$54),1,0))*IF(ISERROR(MATCH($A71,$G$57:I$57,0)),1,0)</f>
        <v>0</v>
      </c>
      <c r="K71" s="3"/>
      <c r="L71" s="3">
        <f ca="1">SUM(H$60:H71)</f>
        <v>10</v>
      </c>
      <c r="M71" s="3">
        <f ca="1">SUM(I$60:I71)</f>
        <v>9</v>
      </c>
      <c r="N71" s="3">
        <f ca="1">SUM(J$60:J71)</f>
        <v>8</v>
      </c>
      <c r="O71" s="3"/>
      <c r="Q71">
        <f t="shared" si="39"/>
        <v>13</v>
      </c>
      <c r="R71" t="str">
        <f>IFERROR(INDEX(lang!$A$2:$F$2,1,MATCH(Q71,lang!$A$1:$F$1,0)),"")</f>
        <v/>
      </c>
      <c r="S71">
        <f>IF(data!R71="",0,1)</f>
        <v>0</v>
      </c>
      <c r="X71">
        <f t="shared" si="40"/>
        <v>2</v>
      </c>
      <c r="Y71" t="str">
        <f t="shared" si="41"/>
        <v>Knights</v>
      </c>
      <c r="Z71">
        <f t="shared" si="42"/>
        <v>2</v>
      </c>
      <c r="AA71" t="str">
        <f t="shared" si="43"/>
        <v>Knights</v>
      </c>
      <c r="AB71">
        <f t="shared" ref="AB71:AB79" si="46">IF(AC71="",AB70,AB70+1)</f>
        <v>2</v>
      </c>
      <c r="AC71" t="str">
        <f t="shared" si="45"/>
        <v>Knights</v>
      </c>
    </row>
    <row r="72" spans="1:31" x14ac:dyDescent="0.3">
      <c r="A72" s="3">
        <f t="shared" si="34"/>
        <v>13</v>
      </c>
      <c r="B72" s="3" t="str">
        <f>$A$50</f>
        <v>Nomads</v>
      </c>
      <c r="C72" s="3" t="str">
        <f>INDEX(lang!48:48,1,LNG)</f>
        <v>Ambassadors</v>
      </c>
      <c r="D72" s="3" t="str">
        <f t="shared" si="32"/>
        <v>Nomads: Ambassadors</v>
      </c>
      <c r="E72" s="29">
        <f>IF($E$55,0,IFERROR(INDEX(Options!$Q$22:$Q$24,MATCH(C72,Options!$M$22:$M$24,0)),0))</f>
        <v>0</v>
      </c>
      <c r="F72" s="3">
        <f t="shared" si="33"/>
        <v>0</v>
      </c>
      <c r="G72" s="7"/>
      <c r="H72" s="3">
        <f ca="1">IF(H$54=0,$F72*IF(H$55&lt;&gt;0,0,1),IF(AND($A72&gt;=H$53,$A72&lt;=H$54),1,0))*IF(ISERROR(MATCH($A72,$G$57:G$57,0)),1,0)</f>
        <v>0</v>
      </c>
      <c r="I72" s="3">
        <f ca="1">IF(I$54=0,$F72*IF(I$55&lt;&gt;0,0,1),IF(AND($A72&gt;=I$53,$A72&lt;=I$54),1,0))*IF(ISERROR(MATCH($A72,$G$57:H$57,0)),1,0)</f>
        <v>0</v>
      </c>
      <c r="J72" s="3">
        <f ca="1">IF(J$54=0,$F72*IF(J$55&lt;&gt;0,0,1),IF(AND($A72&gt;=J$53,$A72&lt;=J$54),1,0))*IF(ISERROR(MATCH($A72,$G$57:I$57,0)),1,0)</f>
        <v>0</v>
      </c>
      <c r="K72" s="3"/>
      <c r="L72" s="3">
        <f ca="1">SUM(H$60:H72)</f>
        <v>10</v>
      </c>
      <c r="M72" s="3">
        <f ca="1">SUM(I$60:I72)</f>
        <v>9</v>
      </c>
      <c r="N72" s="3">
        <f ca="1">SUM(J$60:J72)</f>
        <v>8</v>
      </c>
      <c r="O72" s="3"/>
      <c r="Q72">
        <f t="shared" si="39"/>
        <v>14</v>
      </c>
      <c r="R72" t="str">
        <f>IFERROR(INDEX(lang!$A$2:$F$2,1,MATCH(Q72,lang!$A$1:$F$1,0)),"")</f>
        <v/>
      </c>
      <c r="S72">
        <f>IF(data!R72="",0,1)</f>
        <v>0</v>
      </c>
      <c r="X72">
        <f t="shared" si="40"/>
        <v>3</v>
      </c>
      <c r="Y72" t="str">
        <f t="shared" si="41"/>
        <v>Discoverers</v>
      </c>
      <c r="Z72">
        <f t="shared" si="42"/>
        <v>3</v>
      </c>
      <c r="AA72" t="str">
        <f t="shared" si="43"/>
        <v>Discoverers</v>
      </c>
      <c r="AB72">
        <f t="shared" si="46"/>
        <v>3</v>
      </c>
      <c r="AC72" t="str">
        <f t="shared" si="45"/>
        <v>Discoverers</v>
      </c>
    </row>
    <row r="73" spans="1:31" x14ac:dyDescent="0.3">
      <c r="A73" s="3">
        <f t="shared" si="34"/>
        <v>14</v>
      </c>
      <c r="B73" s="3" t="str">
        <f t="shared" ref="B73:B78" si="47">$A$51</f>
        <v>Marshlands</v>
      </c>
      <c r="C73" s="3" t="str">
        <f>INDEX(lang!49:49,1,LNG)</f>
        <v>Geologists</v>
      </c>
      <c r="D73" s="3" t="str">
        <f t="shared" si="32"/>
        <v>Marshlands: Geologists</v>
      </c>
      <c r="E73" s="29">
        <f>IF($E$55,0,IFERROR(INDEX(Options!$Q$22:$Q$24,MATCH(C73,Options!$M$22:$M$24,0)),0))</f>
        <v>0</v>
      </c>
      <c r="F73" s="3">
        <f t="shared" si="33"/>
        <v>0</v>
      </c>
      <c r="G73" s="7"/>
      <c r="H73" s="3">
        <f ca="1">IF(H$54=0,$F73*IF(H$55&lt;&gt;0,0,1),IF(AND($A73&gt;=H$53,$A73&lt;=H$54),1,0))*IF(ISERROR(MATCH($A73,$G$57:G$57,0)),1,0)</f>
        <v>0</v>
      </c>
      <c r="I73" s="3">
        <f ca="1">IF(I$54=0,$F73*IF(I$55&lt;&gt;0,0,1),IF(AND($A73&gt;=I$53,$A73&lt;=I$54),1,0))*IF(ISERROR(MATCH($A73,$G$57:H$57,0)),1,0)</f>
        <v>0</v>
      </c>
      <c r="J73" s="3">
        <f ca="1">IF(J$54=0,$F73*IF(J$55&lt;&gt;0,0,1),IF(AND($A73&gt;=J$53,$A73&lt;=J$54),1,0))*IF(ISERROR(MATCH($A73,$G$57:I$57,0)),1,0)</f>
        <v>0</v>
      </c>
      <c r="K73" s="3"/>
      <c r="L73" s="3">
        <f ca="1">SUM(H$60:H73)</f>
        <v>10</v>
      </c>
      <c r="M73" s="3">
        <f ca="1">SUM(I$60:I73)</f>
        <v>9</v>
      </c>
      <c r="N73" s="3">
        <f ca="1">SUM(J$60:J73)</f>
        <v>8</v>
      </c>
      <c r="O73" s="3"/>
      <c r="Q73">
        <f t="shared" si="39"/>
        <v>15</v>
      </c>
      <c r="R73" t="str">
        <f>IFERROR(INDEX(lang!$A$2:$F$2,1,MATCH(Q73,lang!$A$1:$F$1,0)),"")</f>
        <v/>
      </c>
      <c r="S73">
        <f>IF(data!R73="",0,1)</f>
        <v>0</v>
      </c>
      <c r="X73">
        <f t="shared" si="40"/>
        <v>4</v>
      </c>
      <c r="Y73" t="str">
        <f t="shared" si="41"/>
        <v>Hermits</v>
      </c>
      <c r="Z73">
        <f t="shared" si="42"/>
        <v>4</v>
      </c>
      <c r="AA73" t="str">
        <f t="shared" si="43"/>
        <v>Hermits</v>
      </c>
      <c r="AB73">
        <f t="shared" si="46"/>
        <v>4</v>
      </c>
      <c r="AC73" t="str">
        <f t="shared" si="45"/>
        <v>Hermits</v>
      </c>
    </row>
    <row r="74" spans="1:31" x14ac:dyDescent="0.3">
      <c r="A74" s="3">
        <f t="shared" si="34"/>
        <v>15</v>
      </c>
      <c r="B74" s="3" t="str">
        <f t="shared" si="47"/>
        <v>Marshlands</v>
      </c>
      <c r="C74" s="3" t="str">
        <f>INDEX(lang!50:50,1,LNG)</f>
        <v>Messengers</v>
      </c>
      <c r="D74" s="3" t="str">
        <f t="shared" si="32"/>
        <v>Marshlands: Messengers</v>
      </c>
      <c r="E74" s="29">
        <f>IF($E$55,0,IFERROR(INDEX(Options!$Q$22:$Q$24,MATCH(C74,Options!$M$22:$M$24,0)),0))</f>
        <v>0</v>
      </c>
      <c r="F74" s="3">
        <f t="shared" si="33"/>
        <v>0</v>
      </c>
      <c r="G74" s="7"/>
      <c r="H74" s="3">
        <f ca="1">IF(H$54=0,$F74*IF(H$55&lt;&gt;0,0,1),IF(AND($A74&gt;=H$53,$A74&lt;=H$54),1,0))*IF(ISERROR(MATCH($A74,$G$57:G$57,0)),1,0)</f>
        <v>0</v>
      </c>
      <c r="I74" s="3">
        <f ca="1">IF(I$54=0,$F74*IF(I$55&lt;&gt;0,0,1),IF(AND($A74&gt;=I$53,$A74&lt;=I$54),1,0))*IF(ISERROR(MATCH($A74,$G$57:H$57,0)),1,0)</f>
        <v>0</v>
      </c>
      <c r="J74" s="3">
        <f ca="1">IF(J$54=0,$F74*IF(J$55&lt;&gt;0,0,1),IF(AND($A74&gt;=J$53,$A74&lt;=J$54),1,0))*IF(ISERROR(MATCH($A74,$G$57:I$57,0)),1,0)</f>
        <v>0</v>
      </c>
      <c r="K74" s="3"/>
      <c r="L74" s="3">
        <f ca="1">SUM(H$60:H74)</f>
        <v>10</v>
      </c>
      <c r="M74" s="3">
        <f ca="1">SUM(I$60:I74)</f>
        <v>9</v>
      </c>
      <c r="N74" s="3">
        <f ca="1">SUM(J$60:J74)</f>
        <v>8</v>
      </c>
      <c r="O74" s="3"/>
      <c r="Q74">
        <f t="shared" si="39"/>
        <v>16</v>
      </c>
      <c r="R74" t="str">
        <f>IFERROR(INDEX(lang!$A$2:$F$2,1,MATCH(Q74,lang!$A$1:$F$1,0)),"")</f>
        <v/>
      </c>
      <c r="S74">
        <f>IF(data!R74="",0,1)</f>
        <v>0</v>
      </c>
      <c r="X74">
        <f t="shared" si="40"/>
        <v>5</v>
      </c>
      <c r="Y74" t="str">
        <f t="shared" si="41"/>
        <v>Farmers</v>
      </c>
      <c r="Z74">
        <f t="shared" si="42"/>
        <v>5</v>
      </c>
      <c r="AA74" t="str">
        <f t="shared" si="43"/>
        <v>Farmers</v>
      </c>
      <c r="AB74">
        <f t="shared" si="46"/>
        <v>5</v>
      </c>
      <c r="AC74" t="str">
        <f t="shared" si="45"/>
        <v>Farmers</v>
      </c>
    </row>
    <row r="75" spans="1:31" x14ac:dyDescent="0.3">
      <c r="A75" s="3">
        <f t="shared" si="34"/>
        <v>16</v>
      </c>
      <c r="B75" s="3" t="str">
        <f t="shared" si="47"/>
        <v>Marshlands</v>
      </c>
      <c r="C75" s="3" t="str">
        <f>INDEX(lang!51:51,1,LNG)</f>
        <v>Noblewomen</v>
      </c>
      <c r="D75" s="3" t="str">
        <f t="shared" si="32"/>
        <v>Marshlands: Noblewomen</v>
      </c>
      <c r="E75" s="29">
        <f>IF($E$55,0,IFERROR(INDEX(Options!$Q$22:$Q$24,MATCH(C75,Options!$M$22:$M$24,0)),0))</f>
        <v>0</v>
      </c>
      <c r="F75" s="3">
        <f t="shared" si="33"/>
        <v>0</v>
      </c>
      <c r="G75" s="7"/>
      <c r="H75" s="3">
        <f ca="1">IF(H$54=0,$F75*IF(H$55&lt;&gt;0,0,1),IF(AND($A75&gt;=H$53,$A75&lt;=H$54),1,0))*IF(ISERROR(MATCH($A75,$G$57:G$57,0)),1,0)</f>
        <v>0</v>
      </c>
      <c r="I75" s="3">
        <f ca="1">IF(I$54=0,$F75*IF(I$55&lt;&gt;0,0,1),IF(AND($A75&gt;=I$53,$A75&lt;=I$54),1,0))*IF(ISERROR(MATCH($A75,$G$57:H$57,0)),1,0)</f>
        <v>0</v>
      </c>
      <c r="J75" s="3">
        <f ca="1">IF(J$54=0,$F75*IF(J$55&lt;&gt;0,0,1),IF(AND($A75&gt;=J$53,$A75&lt;=J$54),1,0))*IF(ISERROR(MATCH($A75,$G$57:I$57,0)),1,0)</f>
        <v>0</v>
      </c>
      <c r="K75" s="3"/>
      <c r="L75" s="3">
        <f ca="1">SUM(H$60:H75)</f>
        <v>10</v>
      </c>
      <c r="M75" s="3">
        <f ca="1">SUM(I$60:I75)</f>
        <v>9</v>
      </c>
      <c r="N75" s="3">
        <f ca="1">SUM(J$60:J75)</f>
        <v>8</v>
      </c>
      <c r="O75" s="3"/>
      <c r="Q75">
        <f t="shared" si="39"/>
        <v>17</v>
      </c>
      <c r="R75" t="str">
        <f>IFERROR(INDEX(lang!$A$2:$F$2,1,MATCH(Q75,lang!$A$1:$F$1,0)),"")</f>
        <v/>
      </c>
      <c r="S75">
        <f>IF(data!R75="",0,1)</f>
        <v>0</v>
      </c>
      <c r="X75">
        <f t="shared" si="40"/>
        <v>6</v>
      </c>
      <c r="Y75" t="str">
        <f t="shared" si="41"/>
        <v>Lords</v>
      </c>
      <c r="Z75">
        <f t="shared" si="42"/>
        <v>6</v>
      </c>
      <c r="AA75" t="str">
        <f t="shared" si="43"/>
        <v>Lords</v>
      </c>
      <c r="AB75">
        <f t="shared" si="46"/>
        <v>6</v>
      </c>
      <c r="AC75" t="str">
        <f t="shared" si="45"/>
        <v>Lords</v>
      </c>
    </row>
    <row r="76" spans="1:31" x14ac:dyDescent="0.3">
      <c r="A76" s="3">
        <f t="shared" si="34"/>
        <v>17</v>
      </c>
      <c r="B76" s="3" t="str">
        <f t="shared" si="47"/>
        <v>Marshlands</v>
      </c>
      <c r="C76" s="3" t="str">
        <f>INDEX(lang!52:52,1,LNG)</f>
        <v>Vassals</v>
      </c>
      <c r="D76" s="3" t="str">
        <f t="shared" si="32"/>
        <v>Marshlands: Vassals</v>
      </c>
      <c r="E76" s="29">
        <f>IF($E$55,0,IFERROR(INDEX(Options!$Q$22:$Q$24,MATCH(C76,Options!$M$22:$M$24,0)),0))</f>
        <v>0</v>
      </c>
      <c r="F76" s="3">
        <f t="shared" si="33"/>
        <v>0</v>
      </c>
      <c r="G76" s="7"/>
      <c r="H76" s="3">
        <f ca="1">IF(H$54=0,$F76*IF(H$55&lt;&gt;0,0,1),IF(AND($A76&gt;=H$53,$A76&lt;=H$54),1,0))*IF(ISERROR(MATCH($A76,$G$57:G$57,0)),1,0)</f>
        <v>0</v>
      </c>
      <c r="I76" s="3">
        <f ca="1">IF(I$54=0,$F76*IF(I$55&lt;&gt;0,0,1),IF(AND($A76&gt;=I$53,$A76&lt;=I$54),1,0))*IF(ISERROR(MATCH($A76,$G$57:H$57,0)),1,0)</f>
        <v>0</v>
      </c>
      <c r="J76" s="3">
        <f ca="1">IF(J$54=0,$F76*IF(J$55&lt;&gt;0,0,1),IF(AND($A76&gt;=J$53,$A76&lt;=J$54),1,0))*IF(ISERROR(MATCH($A76,$G$57:I$57,0)),1,0)</f>
        <v>0</v>
      </c>
      <c r="K76" s="3"/>
      <c r="L76" s="3">
        <f ca="1">SUM(H$60:H76)</f>
        <v>10</v>
      </c>
      <c r="M76" s="3">
        <f ca="1">SUM(I$60:I76)</f>
        <v>9</v>
      </c>
      <c r="N76" s="3">
        <f ca="1">SUM(J$60:J76)</f>
        <v>8</v>
      </c>
      <c r="O76" s="3"/>
      <c r="Q76">
        <f t="shared" si="39"/>
        <v>18</v>
      </c>
      <c r="R76" t="str">
        <f>IFERROR(INDEX(lang!$A$2:$F$2,1,MATCH(Q76,lang!$A$1:$F$1,0)),"")</f>
        <v/>
      </c>
      <c r="S76">
        <f>IF(data!R76="",0,1)</f>
        <v>0</v>
      </c>
      <c r="X76">
        <f t="shared" si="40"/>
        <v>7</v>
      </c>
      <c r="Y76" t="str">
        <f t="shared" si="41"/>
        <v>Fishers</v>
      </c>
      <c r="Z76">
        <f t="shared" si="42"/>
        <v>7</v>
      </c>
      <c r="AA76" t="str">
        <f t="shared" si="43"/>
        <v>Fishers</v>
      </c>
      <c r="AB76">
        <f t="shared" si="46"/>
        <v>7</v>
      </c>
      <c r="AC76" t="str">
        <f t="shared" si="45"/>
        <v>Fishers</v>
      </c>
    </row>
    <row r="77" spans="1:31" x14ac:dyDescent="0.3">
      <c r="A77" s="3">
        <f t="shared" si="34"/>
        <v>18</v>
      </c>
      <c r="B77" s="3" t="str">
        <f t="shared" si="47"/>
        <v>Marshlands</v>
      </c>
      <c r="C77" s="3" t="str">
        <f>INDEX(lang!53:53,1,LNG)</f>
        <v>Captains</v>
      </c>
      <c r="D77" s="3" t="str">
        <f t="shared" si="32"/>
        <v>Marshlands: Captains</v>
      </c>
      <c r="E77" s="29">
        <f>IF($E$55,0,IFERROR(INDEX(Options!$Q$22:$Q$24,MATCH(C77,Options!$M$22:$M$24,0)),0))</f>
        <v>0</v>
      </c>
      <c r="F77" s="3">
        <f t="shared" si="33"/>
        <v>0</v>
      </c>
      <c r="G77" s="7"/>
      <c r="H77" s="3">
        <f ca="1">IF(H$54=0,$F77*IF(H$55&lt;&gt;0,0,1),IF(AND($A77&gt;=H$53,$A77&lt;=H$54),1,0))*IF(ISERROR(MATCH($A77,$G$57:G$57,0)),1,0)</f>
        <v>0</v>
      </c>
      <c r="I77" s="3">
        <f ca="1">IF(I$54=0,$F77*IF(I$55&lt;&gt;0,0,1),IF(AND($A77&gt;=I$53,$A77&lt;=I$54),1,0))*IF(ISERROR(MATCH($A77,$G$57:H$57,0)),1,0)</f>
        <v>0</v>
      </c>
      <c r="J77" s="3">
        <f ca="1">IF(J$54=0,$F77*IF(J$55&lt;&gt;0,0,1),IF(AND($A77&gt;=J$53,$A77&lt;=J$54),1,0))*IF(ISERROR(MATCH($A77,$G$57:I$57,0)),1,0)</f>
        <v>0</v>
      </c>
      <c r="K77" s="3"/>
      <c r="L77" s="3">
        <f ca="1">SUM(H$60:H77)</f>
        <v>10</v>
      </c>
      <c r="M77" s="3">
        <f ca="1">SUM(I$60:I77)</f>
        <v>9</v>
      </c>
      <c r="N77" s="3">
        <f ca="1">SUM(J$60:J77)</f>
        <v>8</v>
      </c>
      <c r="O77" s="3"/>
      <c r="Q77">
        <f t="shared" si="39"/>
        <v>19</v>
      </c>
      <c r="R77" t="str">
        <f>IFERROR(INDEX(lang!$A$2:$F$2,1,MATCH(Q77,lang!$A$1:$F$1,0)),"")</f>
        <v/>
      </c>
      <c r="S77">
        <f>IF(data!R77="",0,1)</f>
        <v>0</v>
      </c>
      <c r="X77">
        <f t="shared" si="40"/>
        <v>8</v>
      </c>
      <c r="Y77" t="str">
        <f t="shared" si="41"/>
        <v>Miners</v>
      </c>
      <c r="Z77">
        <f t="shared" si="42"/>
        <v>8</v>
      </c>
      <c r="AA77" t="str">
        <f t="shared" si="43"/>
        <v>Miners</v>
      </c>
      <c r="AB77">
        <f t="shared" si="46"/>
        <v>8</v>
      </c>
      <c r="AC77" t="str">
        <f t="shared" si="45"/>
        <v>Miners</v>
      </c>
    </row>
    <row r="78" spans="1:31" x14ac:dyDescent="0.3">
      <c r="A78" s="3">
        <f t="shared" si="34"/>
        <v>19</v>
      </c>
      <c r="B78" s="3" t="str">
        <f t="shared" si="47"/>
        <v>Marshlands</v>
      </c>
      <c r="C78" s="3" t="str">
        <f>INDEX(lang!54:54,1,LNG)</f>
        <v>Scouts</v>
      </c>
      <c r="D78" s="3" t="str">
        <f t="shared" si="32"/>
        <v>Marshlands: Scouts</v>
      </c>
      <c r="E78" s="29">
        <f>IF($E$55,0,IFERROR(INDEX(Options!$Q$22:$Q$24,MATCH(C78,Options!$M$22:$M$24,0)),0))</f>
        <v>0</v>
      </c>
      <c r="F78" s="3">
        <f t="shared" si="33"/>
        <v>0</v>
      </c>
      <c r="G78" s="7"/>
      <c r="H78" s="3">
        <f ca="1">IF(H$54=0,$F78*IF(H$55&lt;&gt;0,0,1),IF(AND($A78&gt;=H$53,$A78&lt;=H$54),1,0))*IF(ISERROR(MATCH($A78,$G$57:G$57,0)),1,0)</f>
        <v>0</v>
      </c>
      <c r="I78" s="3">
        <f ca="1">IF(I$54=0,$F78*IF(I$55&lt;&gt;0,0,1),IF(AND($A78&gt;=I$53,$A78&lt;=I$54),1,0))*IF(ISERROR(MATCH($A78,$G$57:H$57,0)),1,0)</f>
        <v>0</v>
      </c>
      <c r="J78" s="3">
        <f ca="1">IF(J$54=0,$F78*IF(J$55&lt;&gt;0,0,1),IF(AND($A78&gt;=J$53,$A78&lt;=J$54),1,0))*IF(ISERROR(MATCH($A78,$G$57:I$57,0)),1,0)</f>
        <v>0</v>
      </c>
      <c r="K78" s="3"/>
      <c r="L78" s="3">
        <f ca="1">SUM(H$60:H78)</f>
        <v>10</v>
      </c>
      <c r="M78" s="3">
        <f ca="1">SUM(I$60:I78)</f>
        <v>9</v>
      </c>
      <c r="N78" s="3">
        <f ca="1">SUM(J$60:J78)</f>
        <v>8</v>
      </c>
      <c r="O78" s="3"/>
      <c r="Q78">
        <f t="shared" si="39"/>
        <v>20</v>
      </c>
      <c r="R78" t="str">
        <f>IFERROR(INDEX(lang!$A$2:$F$2,1,MATCH(Q78,lang!$A$1:$F$1,0)),"")</f>
        <v/>
      </c>
      <c r="S78">
        <f>IF(data!R78="",0,1)</f>
        <v>0</v>
      </c>
      <c r="X78">
        <f t="shared" si="40"/>
        <v>9</v>
      </c>
      <c r="Y78" t="str">
        <f t="shared" si="41"/>
        <v>Merchants</v>
      </c>
      <c r="Z78">
        <f t="shared" si="42"/>
        <v>9</v>
      </c>
      <c r="AA78" t="str">
        <f t="shared" si="43"/>
        <v>Merchants</v>
      </c>
      <c r="AB78">
        <f t="shared" si="46"/>
        <v>9</v>
      </c>
      <c r="AC78" t="str">
        <f t="shared" si="45"/>
        <v>Merchants</v>
      </c>
    </row>
    <row r="79" spans="1:31" x14ac:dyDescent="0.3">
      <c r="A79" s="3">
        <f t="shared" si="34"/>
        <v>20</v>
      </c>
      <c r="B79" s="3" t="str">
        <f t="shared" ref="B79:B84" si="48">$A$52</f>
        <v>Harvest</v>
      </c>
      <c r="C79" s="3" t="str">
        <f>INDEX(lang!55:55,1,LNG)</f>
        <v>Rangers</v>
      </c>
      <c r="D79" s="3" t="str">
        <f t="shared" si="32"/>
        <v>Harvest: Rangers</v>
      </c>
      <c r="E79" s="29">
        <f>IF($E$55,0,IFERROR(INDEX(Options!$Q$22:$Q$24,MATCH(C79,Options!$M$22:$M$24,0)),0))</f>
        <v>0</v>
      </c>
      <c r="F79" s="3">
        <f t="shared" si="33"/>
        <v>0</v>
      </c>
      <c r="G79" s="7"/>
      <c r="H79" s="3">
        <f ca="1">IF(H$54=0,$F79*IF(H$55&lt;&gt;0,0,1),IF(AND($A79&gt;=H$53,$A79&lt;=H$54),1,0))*IF(ISERROR(MATCH($A79,$G$57:G$57,0)),1,0)</f>
        <v>0</v>
      </c>
      <c r="I79" s="3">
        <f ca="1">IF(I$54=0,$F79*IF(I$55&lt;&gt;0,0,1),IF(AND($A79&gt;=I$53,$A79&lt;=I$54),1,0))*IF(ISERROR(MATCH($A79,$G$57:H$57,0)),1,0)</f>
        <v>0</v>
      </c>
      <c r="J79" s="3">
        <f ca="1">IF(J$54=0,$F79*IF(J$55&lt;&gt;0,0,1),IF(AND($A79&gt;=J$53,$A79&lt;=J$54),1,0))*IF(ISERROR(MATCH($A79,$G$57:I$57,0)),1,0)</f>
        <v>0</v>
      </c>
      <c r="K79" s="3"/>
      <c r="L79" s="3">
        <f ca="1">SUM(H$60:H79)</f>
        <v>10</v>
      </c>
      <c r="M79" s="3">
        <f ca="1">SUM(I$60:I79)</f>
        <v>9</v>
      </c>
      <c r="N79" s="3">
        <f ca="1">SUM(J$60:J79)</f>
        <v>8</v>
      </c>
      <c r="O79" s="3"/>
      <c r="Q79">
        <f t="shared" si="39"/>
        <v>21</v>
      </c>
      <c r="R79" t="str">
        <f>IFERROR(INDEX(lang!$A$2:$F$2,1,MATCH(Q79,lang!$A$1:$F$1,0)),"")</f>
        <v/>
      </c>
      <c r="S79">
        <f>IF(data!R79="",0,1)</f>
        <v>0</v>
      </c>
      <c r="X79">
        <f t="shared" si="40"/>
        <v>10</v>
      </c>
      <c r="Y79" t="str">
        <f t="shared" si="41"/>
        <v>Workers</v>
      </c>
      <c r="Z79">
        <f t="shared" si="42"/>
        <v>10</v>
      </c>
      <c r="AA79" t="str">
        <f t="shared" si="43"/>
        <v>Workers</v>
      </c>
      <c r="AB79">
        <f t="shared" si="46"/>
        <v>10</v>
      </c>
      <c r="AC79" t="str">
        <f t="shared" si="45"/>
        <v>Workers</v>
      </c>
    </row>
    <row r="80" spans="1:31" x14ac:dyDescent="0.3">
      <c r="A80" s="3">
        <f t="shared" si="34"/>
        <v>21</v>
      </c>
      <c r="B80" s="3" t="str">
        <f t="shared" si="48"/>
        <v>Harvest</v>
      </c>
      <c r="C80" s="3" t="str">
        <f>INDEX(lang!56:56,1,LNG)</f>
        <v>Mayors</v>
      </c>
      <c r="D80" s="3" t="str">
        <f t="shared" si="32"/>
        <v>Harvest: Mayors</v>
      </c>
      <c r="E80" s="29">
        <f>IF($E$55,0,IFERROR(INDEX(Options!$Q$22:$Q$24,MATCH(C80,Options!$M$22:$M$24,0)),0))</f>
        <v>0</v>
      </c>
      <c r="F80" s="3">
        <f t="shared" si="33"/>
        <v>0</v>
      </c>
      <c r="G80" s="7"/>
      <c r="H80" s="3">
        <f ca="1">IF(H$54=0,$F80*IF(H$55&lt;&gt;0,0,1),IF(AND($A80&gt;=H$53,$A80&lt;=H$54),1,0))*IF(ISERROR(MATCH($A80,$G$57:G$57,0)),1,0)</f>
        <v>0</v>
      </c>
      <c r="I80" s="3">
        <f ca="1">IF(I$54=0,$F80*IF(I$55&lt;&gt;0,0,1),IF(AND($A80&gt;=I$53,$A80&lt;=I$54),1,0))*IF(ISERROR(MATCH($A80,$G$57:H$57,0)),1,0)</f>
        <v>0</v>
      </c>
      <c r="J80" s="3">
        <f ca="1">IF(J$54=0,$F80*IF(J$55&lt;&gt;0,0,1),IF(AND($A80&gt;=J$53,$A80&lt;=J$54),1,0))*IF(ISERROR(MATCH($A80,$G$57:I$57,0)),1,0)</f>
        <v>0</v>
      </c>
      <c r="K80" s="3"/>
      <c r="L80" s="3">
        <f ca="1">SUM(H$60:H80)</f>
        <v>10</v>
      </c>
      <c r="M80" s="3">
        <f ca="1">SUM(I$60:I80)</f>
        <v>9</v>
      </c>
      <c r="N80" s="3">
        <f ca="1">SUM(J$60:J80)</f>
        <v>8</v>
      </c>
      <c r="O80" s="3"/>
      <c r="Q80">
        <f t="shared" si="39"/>
        <v>22</v>
      </c>
      <c r="R80" t="str">
        <f>IFERROR(INDEX(lang!$A$2:$F$2,1,MATCH(Q80,lang!$A$1:$F$1,0)),"")</f>
        <v/>
      </c>
      <c r="S80">
        <f>IF(data!R80="",0,1)</f>
        <v>0</v>
      </c>
      <c r="X80">
        <v>1</v>
      </c>
      <c r="Y80" t="str">
        <f t="shared" ref="Y80:Y89" si="49">IFERROR(VLOOKUP(X80,$X$70:$Y$79,2,0),"")</f>
        <v>Citizens</v>
      </c>
      <c r="Z80">
        <v>1</v>
      </c>
      <c r="AA80" t="str">
        <f t="shared" ref="AA80:AA89" si="50">IFERROR(VLOOKUP(Z80,$Z$70:$AA$79,2,0),"")</f>
        <v>Citizens</v>
      </c>
      <c r="AB80">
        <v>1</v>
      </c>
      <c r="AC80" t="str">
        <f t="shared" ref="AC80:AC89" si="51">IFERROR(VLOOKUP(AB80,$AB$70:$AC$79,2,0),"")</f>
        <v>Citizens</v>
      </c>
    </row>
    <row r="81" spans="1:29" x14ac:dyDescent="0.3">
      <c r="A81" s="3">
        <f t="shared" si="34"/>
        <v>22</v>
      </c>
      <c r="B81" s="3" t="str">
        <f t="shared" si="48"/>
        <v>Harvest</v>
      </c>
      <c r="C81" s="3" t="str">
        <f>INDEX(lang!57:57,1,LNG)</f>
        <v>Chainers</v>
      </c>
      <c r="D81" s="3" t="str">
        <f t="shared" si="32"/>
        <v>Harvest: Chainers</v>
      </c>
      <c r="E81" s="29">
        <f>IF($E$55,0,IFERROR(INDEX(Options!$Q$22:$Q$24,MATCH(C81,Options!$M$22:$M$24,0)),0))</f>
        <v>0</v>
      </c>
      <c r="F81" s="3">
        <f t="shared" si="33"/>
        <v>0</v>
      </c>
      <c r="G81" s="7"/>
      <c r="H81" s="3">
        <f ca="1">IF(H$54=0,$F81*IF(H$55&lt;&gt;0,0,1),IF(AND($A81&gt;=H$53,$A81&lt;=H$54),1,0))*IF(ISERROR(MATCH($A81,$G$57:G$57,0)),1,0)</f>
        <v>0</v>
      </c>
      <c r="I81" s="3">
        <f ca="1">IF(I$54=0,$F81*IF(I$55&lt;&gt;0,0,1),IF(AND($A81&gt;=I$53,$A81&lt;=I$54),1,0))*IF(ISERROR(MATCH($A81,$G$57:H$57,0)),1,0)</f>
        <v>0</v>
      </c>
      <c r="J81" s="3">
        <f ca="1">IF(J$54=0,$F81*IF(J$55&lt;&gt;0,0,1),IF(AND($A81&gt;=J$53,$A81&lt;=J$54),1,0))*IF(ISERROR(MATCH($A81,$G$57:I$57,0)),1,0)</f>
        <v>0</v>
      </c>
      <c r="K81" s="3"/>
      <c r="L81" s="3">
        <f ca="1">SUM(H$60:H81)</f>
        <v>10</v>
      </c>
      <c r="M81" s="3">
        <f ca="1">SUM(I$60:I81)</f>
        <v>9</v>
      </c>
      <c r="N81" s="3">
        <f ca="1">SUM(J$60:J81)</f>
        <v>8</v>
      </c>
      <c r="O81" s="3"/>
      <c r="Q81">
        <f t="shared" si="39"/>
        <v>23</v>
      </c>
      <c r="R81" t="str">
        <f>IFERROR(INDEX(lang!$A$2:$F$2,1,MATCH(Q81,lang!$A$1:$F$1,0)),"")</f>
        <v/>
      </c>
      <c r="S81">
        <f>IF(data!R81="",0,1)</f>
        <v>0</v>
      </c>
      <c r="X81">
        <v>2</v>
      </c>
      <c r="Y81" t="str">
        <f t="shared" si="49"/>
        <v>Knights</v>
      </c>
      <c r="Z81">
        <v>2</v>
      </c>
      <c r="AA81" t="str">
        <f t="shared" si="50"/>
        <v>Knights</v>
      </c>
      <c r="AB81">
        <v>2</v>
      </c>
      <c r="AC81" t="str">
        <f t="shared" si="51"/>
        <v>Knights</v>
      </c>
    </row>
    <row r="82" spans="1:29" x14ac:dyDescent="0.3">
      <c r="A82" s="3">
        <f t="shared" si="34"/>
        <v>23</v>
      </c>
      <c r="B82" s="3" t="str">
        <f t="shared" si="48"/>
        <v>Harvest</v>
      </c>
      <c r="C82" s="3" t="str">
        <f>INDEX(lang!58:58,1,LNG)</f>
        <v>Travellers</v>
      </c>
      <c r="D82" s="3" t="str">
        <f t="shared" si="32"/>
        <v>Harvest: Travellers</v>
      </c>
      <c r="E82" s="29">
        <f>IF($E$55,0,IFERROR(INDEX(Options!$Q$22:$Q$24,MATCH(C82,Options!$M$22:$M$24,0)),0))</f>
        <v>0</v>
      </c>
      <c r="F82" s="3">
        <f t="shared" si="33"/>
        <v>0</v>
      </c>
      <c r="G82" s="7"/>
      <c r="H82" s="3">
        <f ca="1">IF(H$54=0,$F82*IF(H$55&lt;&gt;0,0,1),IF(AND($A82&gt;=H$53,$A82&lt;=H$54),1,0))*IF(ISERROR(MATCH($A82,$G$57:G$57,0)),1,0)</f>
        <v>0</v>
      </c>
      <c r="I82" s="3">
        <f ca="1">IF(I$54=0,$F82*IF(I$55&lt;&gt;0,0,1),IF(AND($A82&gt;=I$53,$A82&lt;=I$54),1,0))*IF(ISERROR(MATCH($A82,$G$57:H$57,0)),1,0)</f>
        <v>0</v>
      </c>
      <c r="J82" s="3">
        <f ca="1">IF(J$54=0,$F82*IF(J$55&lt;&gt;0,0,1),IF(AND($A82&gt;=J$53,$A82&lt;=J$54),1,0))*IF(ISERROR(MATCH($A82,$G$57:I$57,0)),1,0)</f>
        <v>0</v>
      </c>
      <c r="K82" s="3"/>
      <c r="L82" s="3">
        <f ca="1">SUM(H$60:H82)</f>
        <v>10</v>
      </c>
      <c r="M82" s="3">
        <f ca="1">SUM(I$60:I82)</f>
        <v>9</v>
      </c>
      <c r="N82" s="3">
        <f ca="1">SUM(J$60:J82)</f>
        <v>8</v>
      </c>
      <c r="O82" s="3"/>
      <c r="Q82">
        <f t="shared" si="39"/>
        <v>24</v>
      </c>
      <c r="R82" t="str">
        <f>IFERROR(INDEX(lang!$A$2:$F$2,1,MATCH(Q82,lang!$A$1:$F$1,0)),"")</f>
        <v/>
      </c>
      <c r="S82">
        <f>IF(data!R82="",0,1)</f>
        <v>0</v>
      </c>
      <c r="X82">
        <v>3</v>
      </c>
      <c r="Y82" t="str">
        <f t="shared" si="49"/>
        <v>Discoverers</v>
      </c>
      <c r="Z82">
        <v>3</v>
      </c>
      <c r="AA82" t="str">
        <f t="shared" si="50"/>
        <v>Discoverers</v>
      </c>
      <c r="AB82">
        <v>3</v>
      </c>
      <c r="AC82" t="str">
        <f t="shared" si="51"/>
        <v>Discoverers</v>
      </c>
    </row>
    <row r="83" spans="1:29" x14ac:dyDescent="0.3">
      <c r="A83" s="3">
        <f t="shared" si="34"/>
        <v>24</v>
      </c>
      <c r="B83" s="3" t="str">
        <f t="shared" si="48"/>
        <v>Harvest</v>
      </c>
      <c r="C83" s="3" t="str">
        <f>INDEX(lang!59:59,1,LNG)</f>
        <v>Homesteaders</v>
      </c>
      <c r="D83" s="3" t="str">
        <f t="shared" si="32"/>
        <v>Harvest: Homesteaders</v>
      </c>
      <c r="E83" s="29">
        <f>IF($E$55,0,IFERROR(INDEX(Options!$Q$22:$Q$24,MATCH(C83,Options!$M$22:$M$24,0)),0))</f>
        <v>0</v>
      </c>
      <c r="F83" s="3">
        <f t="shared" si="33"/>
        <v>0</v>
      </c>
      <c r="G83" s="7"/>
      <c r="H83" s="3">
        <f ca="1">IF(H$54=0,$F83*IF(H$55&lt;&gt;0,0,1),IF(AND($A83&gt;=H$53,$A83&lt;=H$54),1,0))*IF(ISERROR(MATCH($A83,$G$57:G$57,0)),1,0)</f>
        <v>0</v>
      </c>
      <c r="I83" s="3">
        <f ca="1">IF(I$54=0,$F83*IF(I$55&lt;&gt;0,0,1),IF(AND($A83&gt;=I$53,$A83&lt;=I$54),1,0))*IF(ISERROR(MATCH($A83,$G$57:H$57,0)),1,0)</f>
        <v>0</v>
      </c>
      <c r="J83" s="3">
        <f ca="1">IF(J$54=0,$F83*IF(J$55&lt;&gt;0,0,1),IF(AND($A83&gt;=J$53,$A83&lt;=J$54),1,0))*IF(ISERROR(MATCH($A83,$G$57:I$57,0)),1,0)</f>
        <v>0</v>
      </c>
      <c r="K83" s="3"/>
      <c r="L83" s="3">
        <f ca="1">SUM(H$60:H83)</f>
        <v>10</v>
      </c>
      <c r="M83" s="3">
        <f ca="1">SUM(I$60:I83)</f>
        <v>9</v>
      </c>
      <c r="N83" s="3">
        <f ca="1">SUM(J$60:J83)</f>
        <v>8</v>
      </c>
      <c r="O83" s="3"/>
      <c r="Q83">
        <f t="shared" si="39"/>
        <v>25</v>
      </c>
      <c r="R83" t="str">
        <f>IFERROR(INDEX(lang!$A$2:$F$2,1,MATCH(Q83,lang!$A$1:$F$1,0)),"")</f>
        <v/>
      </c>
      <c r="S83">
        <f>IF(data!R83="",0,1)</f>
        <v>0</v>
      </c>
      <c r="X83">
        <v>4</v>
      </c>
      <c r="Y83" t="str">
        <f t="shared" si="49"/>
        <v>Hermits</v>
      </c>
      <c r="Z83">
        <v>4</v>
      </c>
      <c r="AA83" t="str">
        <f t="shared" si="50"/>
        <v>Hermits</v>
      </c>
      <c r="AB83">
        <v>4</v>
      </c>
      <c r="AC83" t="str">
        <f t="shared" si="51"/>
        <v>Hermits</v>
      </c>
    </row>
    <row r="84" spans="1:29" x14ac:dyDescent="0.3">
      <c r="A84" s="3">
        <f t="shared" si="34"/>
        <v>25</v>
      </c>
      <c r="B84" s="3" t="str">
        <f t="shared" si="48"/>
        <v>Harvest</v>
      </c>
      <c r="C84" s="3" t="str">
        <f>INDEX(lang!60:60,1,LNG)</f>
        <v>Rovers</v>
      </c>
      <c r="D84" s="3" t="str">
        <f t="shared" si="32"/>
        <v>Harvest: Rovers</v>
      </c>
      <c r="E84" s="29">
        <f>IF($E$55,0,IFERROR(INDEX(Options!$Q$22:$Q$24,MATCH(C84,Options!$M$22:$M$24,0)),0))</f>
        <v>0</v>
      </c>
      <c r="F84" s="3">
        <f t="shared" si="33"/>
        <v>0</v>
      </c>
      <c r="G84" s="7"/>
      <c r="H84" s="3">
        <f ca="1">IF(H$54=0,$F84*IF(H$55&lt;&gt;0,0,1),IF(AND($A84&gt;=H$53,$A84&lt;=H$54),1,0))*IF(ISERROR(MATCH($A84,$G$57:G$57,0)),1,0)</f>
        <v>0</v>
      </c>
      <c r="I84" s="3">
        <f ca="1">IF(I$54=0,$F84*IF(I$55&lt;&gt;0,0,1),IF(AND($A84&gt;=I$53,$A84&lt;=I$54),1,0))*IF(ISERROR(MATCH($A84,$G$57:H$57,0)),1,0)</f>
        <v>0</v>
      </c>
      <c r="J84" s="3">
        <f ca="1">IF(J$54=0,$F84*IF(J$55&lt;&gt;0,0,1),IF(AND($A84&gt;=J$53,$A84&lt;=J$54),1,0))*IF(ISERROR(MATCH($A84,$G$57:I$57,0)),1,0)</f>
        <v>0</v>
      </c>
      <c r="K84" s="3"/>
      <c r="L84" s="3">
        <f ca="1">SUM(H$60:H84)</f>
        <v>10</v>
      </c>
      <c r="M84" s="3">
        <f ca="1">SUM(I$60:I84)</f>
        <v>9</v>
      </c>
      <c r="N84" s="3">
        <f ca="1">SUM(J$60:J84)</f>
        <v>8</v>
      </c>
      <c r="O84" s="3"/>
      <c r="Q84">
        <f t="shared" si="39"/>
        <v>26</v>
      </c>
      <c r="R84" t="str">
        <f>IFERROR(INDEX(lang!$A$2:$F$2,1,MATCH(Q84,lang!$A$1:$F$1,0)),"")</f>
        <v/>
      </c>
      <c r="S84">
        <f>IF(data!R84="",0,1)</f>
        <v>0</v>
      </c>
      <c r="X84">
        <v>5</v>
      </c>
      <c r="Y84" t="str">
        <f t="shared" si="49"/>
        <v>Farmers</v>
      </c>
      <c r="Z84">
        <v>5</v>
      </c>
      <c r="AA84" t="str">
        <f t="shared" si="50"/>
        <v>Farmers</v>
      </c>
      <c r="AB84">
        <v>5</v>
      </c>
      <c r="AC84" t="str">
        <f t="shared" si="51"/>
        <v>Farmers</v>
      </c>
    </row>
    <row r="85" spans="1:29" x14ac:dyDescent="0.3">
      <c r="Q85">
        <f t="shared" si="39"/>
        <v>27</v>
      </c>
      <c r="R85" t="str">
        <f>IFERROR(INDEX(lang!$A$2:$F$2,1,MATCH(Q85,lang!$A$1:$F$1,0)),"")</f>
        <v/>
      </c>
      <c r="S85">
        <f>IF(data!R85="",0,1)</f>
        <v>0</v>
      </c>
      <c r="X85">
        <v>6</v>
      </c>
      <c r="Y85" t="str">
        <f t="shared" si="49"/>
        <v>Lords</v>
      </c>
      <c r="Z85">
        <v>6</v>
      </c>
      <c r="AA85" t="str">
        <f t="shared" si="50"/>
        <v>Lords</v>
      </c>
      <c r="AB85">
        <v>6</v>
      </c>
      <c r="AC85" t="str">
        <f t="shared" si="51"/>
        <v>Lords</v>
      </c>
    </row>
    <row r="86" spans="1:29" x14ac:dyDescent="0.3">
      <c r="A86" s="23" t="s">
        <v>110</v>
      </c>
      <c r="B86" s="207" t="s">
        <v>117</v>
      </c>
      <c r="C86" s="208"/>
      <c r="D86" s="208"/>
      <c r="E86" s="209"/>
      <c r="F86" s="210"/>
      <c r="G86" s="210"/>
      <c r="H86" s="211"/>
      <c r="I86" s="211"/>
      <c r="J86" s="211"/>
      <c r="K86" s="211"/>
      <c r="Q86">
        <f t="shared" si="39"/>
        <v>28</v>
      </c>
      <c r="R86" t="str">
        <f>IFERROR(INDEX(lang!$A$2:$F$2,1,MATCH(Q86,lang!$A$1:$F$1,0)),"")</f>
        <v/>
      </c>
      <c r="S86">
        <f>IF(data!R86="",0,1)</f>
        <v>0</v>
      </c>
      <c r="X86">
        <v>7</v>
      </c>
      <c r="Y86" t="str">
        <f t="shared" si="49"/>
        <v>Fishers</v>
      </c>
      <c r="Z86">
        <v>7</v>
      </c>
      <c r="AA86" t="str">
        <f t="shared" si="50"/>
        <v>Fishers</v>
      </c>
      <c r="AB86">
        <v>7</v>
      </c>
      <c r="AC86" t="str">
        <f t="shared" si="51"/>
        <v>Fishers</v>
      </c>
    </row>
    <row r="87" spans="1:29" x14ac:dyDescent="0.3">
      <c r="A87" s="23" t="s">
        <v>128</v>
      </c>
      <c r="B87" s="24" t="s">
        <v>115</v>
      </c>
      <c r="C87" s="24" t="s">
        <v>112</v>
      </c>
      <c r="D87" s="24" t="s">
        <v>114</v>
      </c>
      <c r="E87" s="24"/>
      <c r="F87" s="36"/>
      <c r="G87" s="36"/>
      <c r="H87" s="25">
        <v>1</v>
      </c>
      <c r="I87" s="25">
        <v>2</v>
      </c>
      <c r="J87" s="25">
        <v>3</v>
      </c>
      <c r="K87" s="25">
        <v>4</v>
      </c>
      <c r="Q87">
        <f t="shared" si="39"/>
        <v>29</v>
      </c>
      <c r="R87" t="str">
        <f>IFERROR(INDEX(lang!$A$2:$F$2,1,MATCH(Q87,lang!$A$1:$F$1,0)),"")</f>
        <v/>
      </c>
      <c r="S87">
        <f>IF(data!R87="",0,1)</f>
        <v>0</v>
      </c>
      <c r="X87">
        <v>8</v>
      </c>
      <c r="Y87" t="str">
        <f t="shared" si="49"/>
        <v>Miners</v>
      </c>
      <c r="Z87">
        <v>8</v>
      </c>
      <c r="AA87" t="str">
        <f t="shared" si="50"/>
        <v>Miners</v>
      </c>
      <c r="AB87">
        <v>8</v>
      </c>
      <c r="AC87" t="str">
        <f t="shared" si="51"/>
        <v>Miners</v>
      </c>
    </row>
    <row r="88" spans="1:29" x14ac:dyDescent="0.3">
      <c r="A88" s="24" t="s">
        <v>179</v>
      </c>
      <c r="B88" s="24">
        <v>6</v>
      </c>
      <c r="C88" s="29">
        <f ca="1">IF(E94,COUNTIF(H12:K12,13)+COUNTIF(H12:K12,14)+COUNTIF(H12:K12,15)+COUNTIF(H12:K12,16),Options!F32-D88)</f>
        <v>0</v>
      </c>
      <c r="D88" s="24">
        <f>COUNTIF(E99:E104,"&gt;0")</f>
        <v>0</v>
      </c>
      <c r="E88" s="29"/>
      <c r="F88" s="36"/>
      <c r="G88" s="36"/>
      <c r="H88" s="25"/>
      <c r="I88" s="25"/>
      <c r="J88" s="25"/>
      <c r="K88" s="25"/>
      <c r="Q88">
        <f t="shared" si="39"/>
        <v>30</v>
      </c>
      <c r="R88" t="str">
        <f>IFERROR(INDEX(lang!$A$2:$F$2,1,MATCH(Q88,lang!$A$1:$F$1,0)),"")</f>
        <v/>
      </c>
      <c r="S88">
        <f>IF(data!R88="",0,1)</f>
        <v>0</v>
      </c>
      <c r="X88">
        <v>9</v>
      </c>
      <c r="Y88" t="str">
        <f t="shared" si="49"/>
        <v>Merchants</v>
      </c>
      <c r="Z88">
        <v>9</v>
      </c>
      <c r="AA88" t="str">
        <f t="shared" si="50"/>
        <v>Merchants</v>
      </c>
      <c r="AB88">
        <v>9</v>
      </c>
      <c r="AC88" t="str">
        <f t="shared" si="51"/>
        <v>Merchants</v>
      </c>
    </row>
    <row r="89" spans="1:29" x14ac:dyDescent="0.3">
      <c r="A89" s="24"/>
      <c r="B89" s="24"/>
      <c r="C89" s="29"/>
      <c r="D89" s="24"/>
      <c r="E89" s="29"/>
      <c r="F89" s="36"/>
      <c r="G89" s="36"/>
      <c r="H89" s="25"/>
      <c r="I89" s="25"/>
      <c r="J89" s="25"/>
      <c r="K89" s="25"/>
      <c r="Q89">
        <f t="shared" si="39"/>
        <v>31</v>
      </c>
      <c r="R89" t="str">
        <f>IFERROR(INDEX(lang!$A$2:$F$2,1,MATCH(Q89,lang!$A$1:$F$1,0)),"")</f>
        <v/>
      </c>
      <c r="S89">
        <f>IF(data!R89="",0,1)</f>
        <v>0</v>
      </c>
      <c r="X89">
        <v>10</v>
      </c>
      <c r="Y89" t="str">
        <f t="shared" si="49"/>
        <v>Workers</v>
      </c>
      <c r="Z89">
        <v>10</v>
      </c>
      <c r="AA89" t="str">
        <f t="shared" si="50"/>
        <v>Workers</v>
      </c>
      <c r="AB89">
        <v>10</v>
      </c>
      <c r="AC89" t="str">
        <f t="shared" si="51"/>
        <v>Workers</v>
      </c>
    </row>
    <row r="90" spans="1:29" x14ac:dyDescent="0.3">
      <c r="A90" s="24"/>
      <c r="B90" s="24"/>
      <c r="C90" s="29"/>
      <c r="D90" s="24"/>
      <c r="E90" s="29"/>
      <c r="F90" s="36"/>
      <c r="G90" s="36"/>
      <c r="H90" s="25"/>
      <c r="I90" s="25"/>
      <c r="J90" s="25"/>
      <c r="K90" s="25"/>
      <c r="Q90">
        <f t="shared" si="39"/>
        <v>32</v>
      </c>
      <c r="R90" t="str">
        <f>IFERROR(INDEX(lang!$A$2:$F$2,1,MATCH(Q90,lang!$A$1:$F$1,0)),"")</f>
        <v/>
      </c>
      <c r="S90">
        <f>IF(data!R90="",0,1)</f>
        <v>0</v>
      </c>
      <c r="Y90">
        <v>1</v>
      </c>
      <c r="AA90">
        <v>2</v>
      </c>
      <c r="AC90">
        <v>3</v>
      </c>
    </row>
    <row r="91" spans="1:29" x14ac:dyDescent="0.3">
      <c r="A91" s="24"/>
      <c r="B91" s="24"/>
      <c r="C91" s="29"/>
      <c r="D91" s="24"/>
      <c r="E91" s="29"/>
      <c r="F91" s="36"/>
      <c r="G91" s="36"/>
      <c r="H91" s="25"/>
      <c r="I91" s="25"/>
      <c r="J91" s="25"/>
      <c r="K91" s="25"/>
      <c r="Q91">
        <f t="shared" si="39"/>
        <v>33</v>
      </c>
      <c r="R91" t="str">
        <f>IFERROR(INDEX(lang!$A$2:$F$2,1,MATCH(Q91,lang!$A$1:$F$1,0)),"")</f>
        <v/>
      </c>
      <c r="S91">
        <f>IF(data!R91="",0,1)</f>
        <v>0</v>
      </c>
      <c r="X91">
        <f t="shared" ref="X91:X93" si="52">IF(Y91="",X90,X90+1)</f>
        <v>1</v>
      </c>
      <c r="Y91" t="str">
        <f>IF(AND($E70&gt;0,$E70&lt;&gt;AB$2),"",$C70)</f>
        <v>Families</v>
      </c>
      <c r="Z91">
        <f t="shared" ref="Z91:Z93" si="53">IF(AA91="",Z90,Z90+1)</f>
        <v>1</v>
      </c>
      <c r="AA91" t="str">
        <f>IF(AND($E70&gt;0,$E70&lt;&gt;AC$2),"",$C70)</f>
        <v>Families</v>
      </c>
      <c r="AB91">
        <f t="shared" ref="AB91" si="54">IF(AC91="",AB90,AB90+1)</f>
        <v>1</v>
      </c>
      <c r="AC91" t="str">
        <f>IF(AND($E70&gt;0,$E70&lt;&gt;AD$2),"",$C70)</f>
        <v>Families</v>
      </c>
    </row>
    <row r="92" spans="1:29" x14ac:dyDescent="0.3">
      <c r="A92" s="6"/>
      <c r="B92" t="s">
        <v>116</v>
      </c>
      <c r="C92">
        <f>3-D92-E92</f>
        <v>3</v>
      </c>
      <c r="D92">
        <f>SUM(D88:D91)</f>
        <v>0</v>
      </c>
      <c r="E92">
        <f>SUM(E88:E91)</f>
        <v>0</v>
      </c>
      <c r="F92" s="18"/>
      <c r="G92" s="26" t="s">
        <v>94</v>
      </c>
      <c r="H92" s="22"/>
      <c r="I92" s="22"/>
      <c r="J92" s="22"/>
      <c r="K92" s="22"/>
      <c r="Q92">
        <f t="shared" si="39"/>
        <v>34</v>
      </c>
      <c r="R92" t="str">
        <f>IFERROR(INDEX(lang!$A$2:$F$2,1,MATCH(Q92,lang!$A$1:$F$1,0)),"")</f>
        <v/>
      </c>
      <c r="S92">
        <f>IF(data!R92="",0,1)</f>
        <v>0</v>
      </c>
      <c r="X92">
        <f t="shared" si="52"/>
        <v>2</v>
      </c>
      <c r="Y92" t="str">
        <f>IF(AND($E71&gt;0,$E71&lt;&gt;AB$2),"",$C71)</f>
        <v>Shepherds</v>
      </c>
      <c r="Z92">
        <f t="shared" si="53"/>
        <v>2</v>
      </c>
      <c r="AA92" t="str">
        <f>IF(AND($E71&gt;0,$E71&lt;&gt;AC$2),"",$C71)</f>
        <v>Shepherds</v>
      </c>
      <c r="AB92">
        <f t="shared" ref="AB92:AB93" si="55">IF(AC92="",AB91,AB91+1)</f>
        <v>2</v>
      </c>
      <c r="AC92" t="str">
        <f>IF(AND($E71&gt;0,$E71&lt;&gt;AD$2),"",$C71)</f>
        <v>Shepherds</v>
      </c>
    </row>
    <row r="93" spans="1:29" x14ac:dyDescent="0.3">
      <c r="B93" s="30" t="s">
        <v>147</v>
      </c>
      <c r="C93">
        <f>IF(SUM(D92:E92)&gt;3,1,0)</f>
        <v>0</v>
      </c>
      <c r="E93" t="s">
        <v>173</v>
      </c>
      <c r="G93" s="22" t="s">
        <v>180</v>
      </c>
      <c r="H93" s="22">
        <f ca="1">IF($C$88+IF($E$94,0,$D$88)&lt;H87,0,1)</f>
        <v>0</v>
      </c>
      <c r="I93" s="22">
        <f ca="1">IF($C$88+IF($E$94,0,$D$88)&lt;I87,0,1)</f>
        <v>0</v>
      </c>
      <c r="J93" s="22">
        <f ca="1">IF($C$88+IF($E$94,0,$D$88)&lt;J87,0,1)</f>
        <v>0</v>
      </c>
      <c r="K93" s="22">
        <f ca="1">IF($C$88+IF($E$94,0,$D$88)&lt;K87,0,1)</f>
        <v>0</v>
      </c>
      <c r="Q93">
        <f t="shared" si="39"/>
        <v>35</v>
      </c>
      <c r="R93" t="str">
        <f>IFERROR(INDEX(lang!$A$2:$F$2,1,MATCH(Q93,lang!$A$1:$F$1,0)),"")</f>
        <v/>
      </c>
      <c r="S93">
        <f>IF(data!R93="",0,1)</f>
        <v>0</v>
      </c>
      <c r="X93">
        <f t="shared" si="52"/>
        <v>3</v>
      </c>
      <c r="Y93" t="str">
        <f>IF(AND($E72&gt;0,$E72&lt;&gt;AB$2),"",$C72)</f>
        <v>Ambassadors</v>
      </c>
      <c r="Z93">
        <f t="shared" si="53"/>
        <v>3</v>
      </c>
      <c r="AA93" t="str">
        <f>IF(AND($E72&gt;0,$E72&lt;&gt;AC$2),"",$C72)</f>
        <v>Ambassadors</v>
      </c>
      <c r="AB93">
        <f t="shared" si="55"/>
        <v>3</v>
      </c>
      <c r="AC93" t="str">
        <f>IF(AND($E72&gt;0,$E72&lt;&gt;AD$2),"",$C72)</f>
        <v>Ambassadors</v>
      </c>
    </row>
    <row r="94" spans="1:29" x14ac:dyDescent="0.3">
      <c r="B94" s="31" t="s">
        <v>148</v>
      </c>
      <c r="C94">
        <f ca="1">IF(AND(SUM(C88:C91)=0,SUM(D92:E92)&lt;&gt;3),1,0)</f>
        <v>1</v>
      </c>
      <c r="E94" t="b">
        <f>Options!F30=lngYES</f>
        <v>1</v>
      </c>
      <c r="G94" s="22" t="s">
        <v>93</v>
      </c>
      <c r="H94" s="22">
        <f>IFERROR(LARGE($E$99:$E$104,H87),0)</f>
        <v>0</v>
      </c>
      <c r="I94" s="22">
        <f>IFERROR(LARGE($E$99:$E$104,I87),0)</f>
        <v>0</v>
      </c>
      <c r="J94" s="22">
        <f>IFERROR(LARGE($E$99:$E$104,J87),0)</f>
        <v>0</v>
      </c>
      <c r="K94" s="22">
        <f>IFERROR(LARGE($E$99:$E$104,K87),0)</f>
        <v>0</v>
      </c>
      <c r="Q94">
        <f t="shared" si="39"/>
        <v>36</v>
      </c>
      <c r="R94" t="str">
        <f>IFERROR(INDEX(lang!$A$2:$F$2,1,MATCH(Q94,lang!$A$1:$F$1,0)),"")</f>
        <v/>
      </c>
      <c r="S94">
        <f>IF(data!R94="",0,1)</f>
        <v>0</v>
      </c>
      <c r="X94">
        <v>1</v>
      </c>
      <c r="Y94" t="str">
        <f>IFERROR(VLOOKUP(X94,$X$91:$Y$93,2,0),"")</f>
        <v>Families</v>
      </c>
      <c r="Z94">
        <v>1</v>
      </c>
      <c r="AA94" t="str">
        <f>IFERROR(VLOOKUP(Z94,$Z$91:$AA$93,2,0),"")</f>
        <v>Families</v>
      </c>
      <c r="AB94">
        <v>1</v>
      </c>
      <c r="AC94" t="str">
        <f>IFERROR(VLOOKUP(AB94,$AB$91:$AC$93,2,0),"")</f>
        <v>Families</v>
      </c>
    </row>
    <row r="95" spans="1:29" x14ac:dyDescent="0.3">
      <c r="G95" s="22" t="s">
        <v>26</v>
      </c>
      <c r="H95" s="22">
        <f ca="1">IFERROR(RANDBETWEEN(1,SUM(H99:H104)),0)</f>
        <v>0</v>
      </c>
      <c r="I95" s="22">
        <f ca="1">IFERROR(RANDBETWEEN(1,SUM(I99:I104)),0)</f>
        <v>0</v>
      </c>
      <c r="J95" s="22">
        <f ca="1">IFERROR(RANDBETWEEN(1,SUM(J99:J104)),0)</f>
        <v>0</v>
      </c>
      <c r="K95" s="22">
        <f ca="1">IFERROR(RANDBETWEEN(1,SUM(K99:K104)),0)</f>
        <v>0</v>
      </c>
      <c r="Q95">
        <f t="shared" si="39"/>
        <v>37</v>
      </c>
      <c r="R95" t="str">
        <f>IFERROR(INDEX(lang!$A$2:$F$2,1,MATCH(Q95,lang!$A$1:$F$1,0)),"")</f>
        <v/>
      </c>
      <c r="S95">
        <f>IF(data!R95="",0,1)</f>
        <v>0</v>
      </c>
      <c r="X95">
        <v>2</v>
      </c>
      <c r="Y95" t="str">
        <f>IFERROR(VLOOKUP(X95,$X$91:$Y$93,2,0),"")</f>
        <v>Shepherds</v>
      </c>
      <c r="Z95">
        <v>2</v>
      </c>
      <c r="AA95" t="str">
        <f>IFERROR(VLOOKUP(Z95,$Z$91:$AA$93,2,0),"")</f>
        <v>Shepherds</v>
      </c>
      <c r="AB95">
        <v>2</v>
      </c>
      <c r="AC95" t="str">
        <f>IFERROR(VLOOKUP(AB95,$AB$91:$AC$93,2,0),"")</f>
        <v>Shepherds</v>
      </c>
    </row>
    <row r="96" spans="1:29" x14ac:dyDescent="0.3">
      <c r="G96" s="22" t="s">
        <v>33</v>
      </c>
      <c r="H96" s="22">
        <f ca="1">IF(H94=0,INDEX($A99:$A104,MATCH(H95,L99:L104,0)),INDEX($A$99:$A$104,MATCH(H94,$E$99:$E$104,0)))*H93</f>
        <v>0</v>
      </c>
      <c r="I96" s="22">
        <f ca="1">IF(I94=0,INDEX($A99:$A104,MATCH(I95,M99:M104,0)),INDEX($A$99:$A$104,MATCH(I94,$E$99:$E$104,0)))*I93</f>
        <v>0</v>
      </c>
      <c r="J96" s="22">
        <f ca="1">IF(J94=0,INDEX($A99:$A104,MATCH(J95,N99:N104,0)),INDEX($A$99:$A$104,MATCH(J94,$E$99:$E$104,0)))*J93</f>
        <v>0</v>
      </c>
      <c r="K96" s="22">
        <f ca="1">IF(K94=0,INDEX($A99:$A104,MATCH(K95,O99:O104,0)),INDEX($A$99:$A$104,MATCH(K94,$E$99:$E$104,0)))*K93</f>
        <v>0</v>
      </c>
      <c r="Q96">
        <f t="shared" si="39"/>
        <v>38</v>
      </c>
      <c r="R96" t="str">
        <f>IFERROR(INDEX(lang!$A$2:$F$2,1,MATCH(Q96,lang!$A$1:$F$1,0)),"")</f>
        <v/>
      </c>
      <c r="S96">
        <f>IF(data!R96="",0,1)</f>
        <v>0</v>
      </c>
      <c r="X96">
        <v>3</v>
      </c>
      <c r="Y96" t="str">
        <f>IFERROR(VLOOKUP(X96,$X$91:$Y$93,2,0),"")</f>
        <v>Ambassadors</v>
      </c>
      <c r="Z96">
        <v>3</v>
      </c>
      <c r="AA96" t="str">
        <f>IFERROR(VLOOKUP(Z96,$Z$91:$AA$93,2,0),"")</f>
        <v>Ambassadors</v>
      </c>
      <c r="AB96">
        <v>3</v>
      </c>
      <c r="AC96" t="str">
        <f>IFERROR(VLOOKUP(AB96,$AB$91:$AC$93,2,0),"")</f>
        <v>Ambassadors</v>
      </c>
    </row>
    <row r="97" spans="1:29" ht="21" x14ac:dyDescent="0.4">
      <c r="A97" s="201" t="s">
        <v>149</v>
      </c>
      <c r="B97" s="201"/>
      <c r="C97" s="201"/>
      <c r="D97" s="201"/>
      <c r="E97" s="201"/>
      <c r="F97" s="201"/>
      <c r="G97" s="192" t="s">
        <v>122</v>
      </c>
      <c r="H97" s="192"/>
      <c r="I97" s="192"/>
      <c r="J97" s="192"/>
      <c r="K97" s="192"/>
      <c r="L97" s="192" t="s">
        <v>30</v>
      </c>
      <c r="M97" s="192"/>
      <c r="N97" s="192"/>
      <c r="O97" s="192"/>
      <c r="Q97">
        <f t="shared" si="39"/>
        <v>39</v>
      </c>
      <c r="R97" t="str">
        <f>IFERROR(INDEX(lang!$A$2:$F$2,1,MATCH(Q97,lang!$A$1:$F$1,0)),"")</f>
        <v/>
      </c>
      <c r="S97">
        <f>IF(data!R97="",0,1)</f>
        <v>0</v>
      </c>
      <c r="Y97">
        <v>1</v>
      </c>
      <c r="AA97">
        <v>2</v>
      </c>
      <c r="AC97">
        <v>3</v>
      </c>
    </row>
    <row r="98" spans="1:29" x14ac:dyDescent="0.3">
      <c r="A98" s="11" t="s">
        <v>109</v>
      </c>
      <c r="B98" s="11" t="s">
        <v>110</v>
      </c>
      <c r="C98" s="11" t="str">
        <f>A2</f>
        <v>none</v>
      </c>
      <c r="D98" s="11"/>
      <c r="E98" s="11" t="s">
        <v>88</v>
      </c>
      <c r="F98" s="42" t="s">
        <v>121</v>
      </c>
      <c r="G98" s="192"/>
      <c r="H98" s="192"/>
      <c r="I98" s="192"/>
      <c r="J98" s="192"/>
      <c r="K98" s="192"/>
      <c r="L98" s="192"/>
      <c r="M98" s="192"/>
      <c r="N98" s="192"/>
      <c r="O98" s="192"/>
      <c r="Q98">
        <f t="shared" si="39"/>
        <v>40</v>
      </c>
      <c r="R98" t="str">
        <f>IFERROR(INDEX(lang!$A$2:$F$2,1,MATCH(Q98,lang!$A$1:$F$1,0)),"")</f>
        <v/>
      </c>
      <c r="S98">
        <f>IF(data!R98="",0,1)</f>
        <v>0</v>
      </c>
      <c r="X98">
        <f t="shared" ref="X98:X103" si="56">IF(Y98="",X97,X97+1)</f>
        <v>1</v>
      </c>
      <c r="Y98" t="str">
        <f t="shared" ref="Y98:Y103" si="57">IF(AND($E73&gt;0,$E73&lt;&gt;AB$2),"",$C73)</f>
        <v>Geologists</v>
      </c>
      <c r="Z98">
        <f t="shared" ref="Z98:Z103" si="58">IF(AA98="",Z97,Z97+1)</f>
        <v>1</v>
      </c>
      <c r="AA98" t="str">
        <f t="shared" ref="AA98:AA103" si="59">IF(AND($E73&gt;0,$E73&lt;&gt;AC$2),"",$C73)</f>
        <v>Geologists</v>
      </c>
      <c r="AB98">
        <f>IF(AC98="",AB97,AB97+1)</f>
        <v>1</v>
      </c>
      <c r="AC98" t="str">
        <f t="shared" ref="AC98:AC103" si="60">IF(AND($E73&gt;0,$E73&lt;&gt;AD$2),"",$C73)</f>
        <v>Geologists</v>
      </c>
    </row>
    <row r="99" spans="1:29" x14ac:dyDescent="0.3">
      <c r="A99" s="3">
        <v>1</v>
      </c>
      <c r="B99" s="3"/>
      <c r="C99" s="3" t="str">
        <f>INDEX(lang!89:89,1,LNG)</f>
        <v>Home country</v>
      </c>
      <c r="D99" s="3"/>
      <c r="E99" s="29">
        <f>IF($E$94,0,IFERROR(INDEX(Options!$Q$34:$Q$37,MATCH(C99,Options!$L$34:$L$37,0)),0))</f>
        <v>0</v>
      </c>
      <c r="F99" s="3">
        <f t="shared" ref="F99:F104" ca="1" si="61">IF(E99&lt;&gt;0,0,IF($C$88&gt;0,1,0))</f>
        <v>0</v>
      </c>
      <c r="G99" s="7"/>
      <c r="H99" s="3">
        <f t="shared" ref="H99:K104" ca="1" si="62">$F99*IF(H$94&lt;&gt;0,0,1)</f>
        <v>0</v>
      </c>
      <c r="I99" s="3">
        <f t="shared" ca="1" si="62"/>
        <v>0</v>
      </c>
      <c r="J99" s="3">
        <f t="shared" ca="1" si="62"/>
        <v>0</v>
      </c>
      <c r="K99" s="3">
        <f t="shared" ca="1" si="62"/>
        <v>0</v>
      </c>
      <c r="L99" s="3">
        <f ca="1">SUM(H$99:H99)</f>
        <v>0</v>
      </c>
      <c r="M99" s="3">
        <f ca="1">SUM(I$99:I99)</f>
        <v>0</v>
      </c>
      <c r="N99" s="3">
        <f ca="1">SUM(J$99:J99)</f>
        <v>0</v>
      </c>
      <c r="O99" s="3">
        <f ca="1">SUM(K$99:K99)</f>
        <v>0</v>
      </c>
      <c r="Q99">
        <f t="shared" si="39"/>
        <v>41</v>
      </c>
      <c r="R99" t="str">
        <f>IFERROR(INDEX(lang!$A$2:$F$2,1,MATCH(Q99,lang!$A$1:$F$1,0)),"")</f>
        <v/>
      </c>
      <c r="S99">
        <f>IF(data!R99="",0,1)</f>
        <v>0</v>
      </c>
      <c r="X99">
        <f t="shared" si="56"/>
        <v>2</v>
      </c>
      <c r="Y99" t="str">
        <f t="shared" si="57"/>
        <v>Messengers</v>
      </c>
      <c r="Z99">
        <f t="shared" si="58"/>
        <v>2</v>
      </c>
      <c r="AA99" t="str">
        <f t="shared" si="59"/>
        <v>Messengers</v>
      </c>
      <c r="AB99">
        <f t="shared" ref="AB99:AB103" si="63">IF(AC99="",AB98,AB98+1)</f>
        <v>2</v>
      </c>
      <c r="AC99" t="str">
        <f t="shared" si="60"/>
        <v>Messengers</v>
      </c>
    </row>
    <row r="100" spans="1:29" x14ac:dyDescent="0.3">
      <c r="A100" s="3">
        <f>A99+1</f>
        <v>2</v>
      </c>
      <c r="B100" s="3"/>
      <c r="C100" s="3" t="str">
        <f>INDEX(lang!90:90,1,LNG)</f>
        <v>Fortress</v>
      </c>
      <c r="D100" s="3"/>
      <c r="E100" s="29">
        <f>IF($E$94,0,IFERROR(INDEX(Options!$Q$34:$Q$37,MATCH(C100,Options!$L$34:$L$37,0)),0))</f>
        <v>0</v>
      </c>
      <c r="F100" s="3">
        <f t="shared" ca="1" si="61"/>
        <v>0</v>
      </c>
      <c r="G100" s="7"/>
      <c r="H100" s="3">
        <f t="shared" ca="1" si="62"/>
        <v>0</v>
      </c>
      <c r="I100" s="3">
        <f t="shared" ca="1" si="62"/>
        <v>0</v>
      </c>
      <c r="J100" s="3">
        <f t="shared" ca="1" si="62"/>
        <v>0</v>
      </c>
      <c r="K100" s="3">
        <f t="shared" ca="1" si="62"/>
        <v>0</v>
      </c>
      <c r="L100" s="3">
        <f ca="1">SUM(H$99:H100)</f>
        <v>0</v>
      </c>
      <c r="M100" s="3">
        <f ca="1">SUM(I$99:I100)</f>
        <v>0</v>
      </c>
      <c r="N100" s="3">
        <f ca="1">SUM(J$99:J100)</f>
        <v>0</v>
      </c>
      <c r="O100" s="3">
        <f ca="1">SUM(K$99:K100)</f>
        <v>0</v>
      </c>
      <c r="Q100">
        <f t="shared" si="39"/>
        <v>42</v>
      </c>
      <c r="R100" t="str">
        <f>IFERROR(INDEX(lang!$A$2:$F$2,1,MATCH(Q100,lang!$A$1:$F$1,0)),"")</f>
        <v/>
      </c>
      <c r="S100">
        <f>IF(data!R100="",0,1)</f>
        <v>0</v>
      </c>
      <c r="X100">
        <f t="shared" si="56"/>
        <v>3</v>
      </c>
      <c r="Y100" t="str">
        <f t="shared" si="57"/>
        <v>Noblewomen</v>
      </c>
      <c r="Z100">
        <f t="shared" si="58"/>
        <v>3</v>
      </c>
      <c r="AA100" t="str">
        <f t="shared" si="59"/>
        <v>Noblewomen</v>
      </c>
      <c r="AB100">
        <f t="shared" si="63"/>
        <v>3</v>
      </c>
      <c r="AC100" t="str">
        <f t="shared" si="60"/>
        <v>Noblewomen</v>
      </c>
    </row>
    <row r="101" spans="1:29" x14ac:dyDescent="0.3">
      <c r="A101" s="3">
        <f>A100+1</f>
        <v>3</v>
      </c>
      <c r="B101" s="3"/>
      <c r="C101" s="3" t="str">
        <f>INDEX(lang!91:91,1,LNG)</f>
        <v>Road</v>
      </c>
      <c r="D101" s="3"/>
      <c r="E101" s="29">
        <f>IF($E$94,0,IFERROR(INDEX(Options!$Q$34:$Q$37,MATCH(C101,Options!$L$34:$L$37,0)),0))</f>
        <v>0</v>
      </c>
      <c r="F101" s="3">
        <f t="shared" ca="1" si="61"/>
        <v>0</v>
      </c>
      <c r="G101" s="7"/>
      <c r="H101" s="3">
        <f t="shared" ca="1" si="62"/>
        <v>0</v>
      </c>
      <c r="I101" s="3">
        <f t="shared" ca="1" si="62"/>
        <v>0</v>
      </c>
      <c r="J101" s="3">
        <f t="shared" ca="1" si="62"/>
        <v>0</v>
      </c>
      <c r="K101" s="3">
        <f t="shared" ca="1" si="62"/>
        <v>0</v>
      </c>
      <c r="L101" s="3">
        <f ca="1">SUM(H$99:H101)</f>
        <v>0</v>
      </c>
      <c r="M101" s="3">
        <f ca="1">SUM(I$99:I101)</f>
        <v>0</v>
      </c>
      <c r="N101" s="3">
        <f ca="1">SUM(J$99:J101)</f>
        <v>0</v>
      </c>
      <c r="O101" s="3">
        <f ca="1">SUM(K$99:K101)</f>
        <v>0</v>
      </c>
      <c r="Q101">
        <f t="shared" si="39"/>
        <v>43</v>
      </c>
      <c r="R101" t="str">
        <f>IFERROR(INDEX(lang!$A$2:$F$2,1,MATCH(Q101,lang!$A$1:$F$1,0)),"")</f>
        <v/>
      </c>
      <c r="S101">
        <f>IF(data!R101="",0,1)</f>
        <v>0</v>
      </c>
      <c r="X101">
        <f t="shared" si="56"/>
        <v>4</v>
      </c>
      <c r="Y101" t="str">
        <f t="shared" si="57"/>
        <v>Vassals</v>
      </c>
      <c r="Z101">
        <f t="shared" si="58"/>
        <v>4</v>
      </c>
      <c r="AA101" t="str">
        <f t="shared" si="59"/>
        <v>Vassals</v>
      </c>
      <c r="AB101">
        <f t="shared" si="63"/>
        <v>4</v>
      </c>
      <c r="AC101" t="str">
        <f t="shared" si="60"/>
        <v>Vassals</v>
      </c>
    </row>
    <row r="102" spans="1:29" x14ac:dyDescent="0.3">
      <c r="A102" s="3">
        <f>A101+1</f>
        <v>4</v>
      </c>
      <c r="B102" s="3"/>
      <c r="C102" s="3" t="str">
        <f>INDEX(lang!92:92,1,LNG)</f>
        <v>Place of refuge</v>
      </c>
      <c r="D102" s="3"/>
      <c r="E102" s="29">
        <f>IF($E$94,0,IFERROR(INDEX(Options!$Q$34:$Q$37,MATCH(C102,Options!$L$34:$L$37,0)),0))</f>
        <v>0</v>
      </c>
      <c r="F102" s="3">
        <f t="shared" ca="1" si="61"/>
        <v>0</v>
      </c>
      <c r="G102" s="7"/>
      <c r="H102" s="3">
        <f t="shared" ca="1" si="62"/>
        <v>0</v>
      </c>
      <c r="I102" s="3">
        <f t="shared" ca="1" si="62"/>
        <v>0</v>
      </c>
      <c r="J102" s="3">
        <f t="shared" ca="1" si="62"/>
        <v>0</v>
      </c>
      <c r="K102" s="3">
        <f t="shared" ca="1" si="62"/>
        <v>0</v>
      </c>
      <c r="L102" s="3">
        <f ca="1">SUM(H$99:H102)</f>
        <v>0</v>
      </c>
      <c r="M102" s="3">
        <f ca="1">SUM(I$99:I102)</f>
        <v>0</v>
      </c>
      <c r="N102" s="3">
        <f ca="1">SUM(J$99:J102)</f>
        <v>0</v>
      </c>
      <c r="O102" s="3">
        <f ca="1">SUM(K$99:K102)</f>
        <v>0</v>
      </c>
      <c r="Q102">
        <f t="shared" si="39"/>
        <v>44</v>
      </c>
      <c r="R102" t="str">
        <f>IFERROR(INDEX(lang!$A$2:$F$2,1,MATCH(Q102,lang!$A$1:$F$1,0)),"")</f>
        <v/>
      </c>
      <c r="S102">
        <f>IF(data!R102="",0,1)</f>
        <v>0</v>
      </c>
      <c r="X102">
        <f t="shared" si="56"/>
        <v>5</v>
      </c>
      <c r="Y102" t="str">
        <f t="shared" si="57"/>
        <v>Captains</v>
      </c>
      <c r="Z102">
        <f t="shared" si="58"/>
        <v>5</v>
      </c>
      <c r="AA102" t="str">
        <f t="shared" si="59"/>
        <v>Captains</v>
      </c>
      <c r="AB102">
        <f t="shared" si="63"/>
        <v>5</v>
      </c>
      <c r="AC102" t="str">
        <f t="shared" si="60"/>
        <v>Captains</v>
      </c>
    </row>
    <row r="103" spans="1:29" x14ac:dyDescent="0.3">
      <c r="A103" s="3">
        <f>A102+1</f>
        <v>5</v>
      </c>
      <c r="B103" s="3"/>
      <c r="C103" s="3" t="str">
        <f>INDEX(lang!93:93,1,LNG)</f>
        <v>Advance</v>
      </c>
      <c r="D103" s="3"/>
      <c r="E103" s="29">
        <f>IF($E$94,0,IFERROR(INDEX(Options!$Q$34:$Q$37,MATCH(C103,Options!$L$34:$L$37,0)),0))</f>
        <v>0</v>
      </c>
      <c r="F103" s="3">
        <f t="shared" ca="1" si="61"/>
        <v>0</v>
      </c>
      <c r="G103" s="7"/>
      <c r="H103" s="3">
        <f t="shared" ca="1" si="62"/>
        <v>0</v>
      </c>
      <c r="I103" s="3">
        <f t="shared" ca="1" si="62"/>
        <v>0</v>
      </c>
      <c r="J103" s="3">
        <f t="shared" ca="1" si="62"/>
        <v>0</v>
      </c>
      <c r="K103" s="3">
        <f t="shared" ca="1" si="62"/>
        <v>0</v>
      </c>
      <c r="L103" s="3">
        <f ca="1">SUM(H$99:H103)</f>
        <v>0</v>
      </c>
      <c r="M103" s="3">
        <f ca="1">SUM(I$99:I103)</f>
        <v>0</v>
      </c>
      <c r="N103" s="3">
        <f ca="1">SUM(J$99:J103)</f>
        <v>0</v>
      </c>
      <c r="O103" s="3">
        <f ca="1">SUM(K$99:K103)</f>
        <v>0</v>
      </c>
      <c r="Q103">
        <f t="shared" si="39"/>
        <v>45</v>
      </c>
      <c r="R103" t="str">
        <f>IFERROR(INDEX(lang!$A$2:$F$2,1,MATCH(Q103,lang!$A$1:$F$1,0)),"")</f>
        <v/>
      </c>
      <c r="S103">
        <f>IF(data!R103="",0,1)</f>
        <v>0</v>
      </c>
      <c r="X103">
        <f t="shared" si="56"/>
        <v>6</v>
      </c>
      <c r="Y103" t="str">
        <f t="shared" si="57"/>
        <v>Scouts</v>
      </c>
      <c r="Z103">
        <f t="shared" si="58"/>
        <v>6</v>
      </c>
      <c r="AA103" t="str">
        <f t="shared" si="59"/>
        <v>Scouts</v>
      </c>
      <c r="AB103">
        <f t="shared" si="63"/>
        <v>6</v>
      </c>
      <c r="AC103" t="str">
        <f t="shared" si="60"/>
        <v>Scouts</v>
      </c>
    </row>
    <row r="104" spans="1:29" x14ac:dyDescent="0.3">
      <c r="A104" s="3">
        <f>A103+1</f>
        <v>6</v>
      </c>
      <c r="B104" s="3"/>
      <c r="C104" s="3" t="str">
        <f>INDEX(lang!94:94,1,LNG)</f>
        <v>Compass point</v>
      </c>
      <c r="D104" s="3"/>
      <c r="E104" s="29">
        <f>IF($E$94,0,IFERROR(INDEX(Options!$Q$34:$Q$37,MATCH(C104,Options!$L$34:$L$37,0)),0))</f>
        <v>0</v>
      </c>
      <c r="F104" s="3">
        <f t="shared" ca="1" si="61"/>
        <v>0</v>
      </c>
      <c r="G104" s="7"/>
      <c r="H104" s="3">
        <f t="shared" ca="1" si="62"/>
        <v>0</v>
      </c>
      <c r="I104" s="3">
        <f t="shared" ca="1" si="62"/>
        <v>0</v>
      </c>
      <c r="J104" s="3">
        <f t="shared" ca="1" si="62"/>
        <v>0</v>
      </c>
      <c r="K104" s="3">
        <f t="shared" ca="1" si="62"/>
        <v>0</v>
      </c>
      <c r="L104" s="3">
        <f ca="1">SUM(H$99:H104)</f>
        <v>0</v>
      </c>
      <c r="M104" s="3">
        <f ca="1">SUM(I$99:I104)</f>
        <v>0</v>
      </c>
      <c r="N104" s="3">
        <f ca="1">SUM(J$99:J104)</f>
        <v>0</v>
      </c>
      <c r="O104" s="3">
        <f ca="1">SUM(K$99:K104)</f>
        <v>0</v>
      </c>
      <c r="Q104">
        <f t="shared" si="39"/>
        <v>46</v>
      </c>
      <c r="R104" t="str">
        <f>IFERROR(INDEX(lang!$A$2:$F$2,1,MATCH(Q104,lang!$A$1:$F$1,0)),"")</f>
        <v/>
      </c>
      <c r="S104">
        <f>IF(data!R104="",0,1)</f>
        <v>0</v>
      </c>
      <c r="X104">
        <v>1</v>
      </c>
      <c r="Y104" t="str">
        <f t="shared" ref="Y104:Y109" si="64">IFERROR(VLOOKUP(X104,$X$98:$Y$103,2,0),"")</f>
        <v>Geologists</v>
      </c>
      <c r="Z104">
        <v>1</v>
      </c>
      <c r="AA104" t="str">
        <f t="shared" ref="AA104:AA109" si="65">IFERROR(VLOOKUP(Z104,$Z$98:$AA$103,2,0),"")</f>
        <v>Geologists</v>
      </c>
      <c r="AB104">
        <v>1</v>
      </c>
      <c r="AC104" t="str">
        <f t="shared" ref="AC104:AC109" si="66">IFERROR(VLOOKUP(AB104,$AB$98:$AC$103,2,0),"")</f>
        <v>Geologists</v>
      </c>
    </row>
    <row r="105" spans="1:29" x14ac:dyDescent="0.3">
      <c r="B105" s="30"/>
      <c r="Q105">
        <f t="shared" si="39"/>
        <v>47</v>
      </c>
      <c r="R105" t="str">
        <f>IFERROR(INDEX(lang!$A$2:$F$2,1,MATCH(Q105,lang!$A$1:$F$1,0)),"")</f>
        <v/>
      </c>
      <c r="S105">
        <f>IF(data!R105="",0,1)</f>
        <v>0</v>
      </c>
      <c r="X105">
        <v>2</v>
      </c>
      <c r="Y105" t="str">
        <f t="shared" si="64"/>
        <v>Messengers</v>
      </c>
      <c r="Z105">
        <v>2</v>
      </c>
      <c r="AA105" t="str">
        <f t="shared" si="65"/>
        <v>Messengers</v>
      </c>
      <c r="AB105">
        <v>2</v>
      </c>
      <c r="AC105" t="str">
        <f t="shared" si="66"/>
        <v>Messengers</v>
      </c>
    </row>
    <row r="106" spans="1:29" x14ac:dyDescent="0.3">
      <c r="A106" s="23" t="s">
        <v>110</v>
      </c>
      <c r="B106" s="207" t="s">
        <v>117</v>
      </c>
      <c r="C106" s="208"/>
      <c r="D106" s="208"/>
      <c r="E106" s="209"/>
      <c r="F106" s="210"/>
      <c r="G106" s="210"/>
      <c r="H106" s="211"/>
      <c r="I106" s="211"/>
      <c r="J106" s="211"/>
      <c r="K106" s="211"/>
      <c r="Q106">
        <f t="shared" si="39"/>
        <v>48</v>
      </c>
      <c r="R106" t="str">
        <f>IFERROR(INDEX(lang!$A$2:$F$2,1,MATCH(Q106,lang!$A$1:$F$1,0)),"")</f>
        <v/>
      </c>
      <c r="S106">
        <f>IF(data!R106="",0,1)</f>
        <v>0</v>
      </c>
      <c r="X106">
        <v>3</v>
      </c>
      <c r="Y106" t="str">
        <f t="shared" si="64"/>
        <v>Noblewomen</v>
      </c>
      <c r="Z106">
        <v>3</v>
      </c>
      <c r="AA106" t="str">
        <f t="shared" si="65"/>
        <v>Noblewomen</v>
      </c>
      <c r="AB106">
        <v>3</v>
      </c>
      <c r="AC106" t="str">
        <f t="shared" si="66"/>
        <v>Noblewomen</v>
      </c>
    </row>
    <row r="107" spans="1:29" x14ac:dyDescent="0.3">
      <c r="A107" s="23" t="s">
        <v>128</v>
      </c>
      <c r="B107" s="24" t="s">
        <v>115</v>
      </c>
      <c r="C107" s="24" t="s">
        <v>112</v>
      </c>
      <c r="D107" s="24" t="s">
        <v>114</v>
      </c>
      <c r="E107" s="24" t="s">
        <v>113</v>
      </c>
      <c r="F107" s="36"/>
      <c r="G107" s="36"/>
      <c r="H107" s="25">
        <v>1</v>
      </c>
      <c r="I107" s="25">
        <v>2</v>
      </c>
      <c r="J107" s="25">
        <v>3</v>
      </c>
      <c r="K107" s="25">
        <v>4</v>
      </c>
      <c r="L107" s="25">
        <v>5</v>
      </c>
      <c r="M107" s="25">
        <v>6</v>
      </c>
      <c r="Q107">
        <f t="shared" si="39"/>
        <v>49</v>
      </c>
      <c r="R107" t="str">
        <f>IFERROR(INDEX(lang!$A$2:$F$2,1,MATCH(Q107,lang!$A$1:$F$1,0)),"")</f>
        <v/>
      </c>
      <c r="S107">
        <f>IF(data!R107="",0,1)</f>
        <v>0</v>
      </c>
      <c r="X107">
        <v>4</v>
      </c>
      <c r="Y107" t="str">
        <f t="shared" si="64"/>
        <v>Vassals</v>
      </c>
      <c r="Z107">
        <v>4</v>
      </c>
      <c r="AA107" t="str">
        <f t="shared" si="65"/>
        <v>Vassals</v>
      </c>
      <c r="AB107">
        <v>4</v>
      </c>
      <c r="AC107" t="str">
        <f t="shared" si="66"/>
        <v>Vassals</v>
      </c>
    </row>
    <row r="108" spans="1:29" x14ac:dyDescent="0.3">
      <c r="A108" s="24" t="s">
        <v>179</v>
      </c>
      <c r="B108" s="24">
        <v>15</v>
      </c>
      <c r="C108" s="29"/>
      <c r="D108" s="24"/>
      <c r="E108" s="29"/>
      <c r="F108" s="36"/>
      <c r="G108" s="36"/>
      <c r="H108" s="25"/>
      <c r="I108" s="25"/>
      <c r="J108" s="25"/>
      <c r="K108" s="25"/>
      <c r="L108" s="25"/>
      <c r="M108" s="25"/>
      <c r="Q108">
        <f t="shared" si="39"/>
        <v>50</v>
      </c>
      <c r="R108" t="str">
        <f>IFERROR(INDEX(lang!$A$2:$F$2,1,MATCH(Q108,lang!$A$1:$F$1,0)),"")</f>
        <v/>
      </c>
      <c r="S108">
        <f>IF(data!R108="",0,1)</f>
        <v>0</v>
      </c>
      <c r="X108">
        <v>5</v>
      </c>
      <c r="Y108" t="str">
        <f t="shared" si="64"/>
        <v>Captains</v>
      </c>
      <c r="Z108">
        <v>5</v>
      </c>
      <c r="AA108" t="str">
        <f t="shared" si="65"/>
        <v>Captains</v>
      </c>
      <c r="AB108">
        <v>5</v>
      </c>
      <c r="AC108" t="str">
        <f t="shared" si="66"/>
        <v>Captains</v>
      </c>
    </row>
    <row r="109" spans="1:29" x14ac:dyDescent="0.3">
      <c r="A109" s="24"/>
      <c r="B109" s="24"/>
      <c r="C109" s="29"/>
      <c r="D109" s="24"/>
      <c r="E109" s="29"/>
      <c r="F109" s="36"/>
      <c r="G109" s="36"/>
      <c r="H109" s="25"/>
      <c r="I109" s="25"/>
      <c r="J109" s="25"/>
      <c r="K109" s="25"/>
      <c r="L109" s="25"/>
      <c r="M109" s="25"/>
      <c r="X109">
        <v>6</v>
      </c>
      <c r="Y109" t="str">
        <f t="shared" si="64"/>
        <v>Scouts</v>
      </c>
      <c r="Z109">
        <v>6</v>
      </c>
      <c r="AA109" t="str">
        <f t="shared" si="65"/>
        <v>Scouts</v>
      </c>
      <c r="AB109">
        <v>6</v>
      </c>
      <c r="AC109" t="str">
        <f t="shared" si="66"/>
        <v>Scouts</v>
      </c>
    </row>
    <row r="110" spans="1:29" x14ac:dyDescent="0.3">
      <c r="A110" s="24"/>
      <c r="B110" s="24"/>
      <c r="C110" s="29"/>
      <c r="D110" s="24"/>
      <c r="E110" s="29"/>
      <c r="F110" s="36"/>
      <c r="G110" s="36"/>
      <c r="H110" s="25"/>
      <c r="I110" s="25"/>
      <c r="J110" s="25"/>
      <c r="K110" s="25"/>
      <c r="L110" s="25"/>
      <c r="M110" s="25"/>
      <c r="O110" s="58"/>
      <c r="Y110">
        <v>1</v>
      </c>
      <c r="AA110">
        <v>2</v>
      </c>
      <c r="AC110">
        <v>3</v>
      </c>
    </row>
    <row r="111" spans="1:29" x14ac:dyDescent="0.3">
      <c r="A111" s="24"/>
      <c r="B111" s="24"/>
      <c r="C111" s="29"/>
      <c r="D111" s="24"/>
      <c r="E111" s="29"/>
      <c r="F111" s="36"/>
      <c r="G111" s="36"/>
      <c r="H111" s="25"/>
      <c r="I111" s="25"/>
      <c r="J111" s="25"/>
      <c r="K111" s="25"/>
      <c r="L111" s="25"/>
      <c r="M111" s="25"/>
      <c r="O111" s="58"/>
      <c r="X111">
        <f t="shared" ref="X111:X116" si="67">IF(Y111="",X110,X110+1)</f>
        <v>1</v>
      </c>
      <c r="Y111" t="str">
        <f t="shared" ref="Y111:Y116" si="68">IF(AND($E79&gt;0,$E79&lt;&gt;AB$2),"",$C79)</f>
        <v>Rangers</v>
      </c>
      <c r="Z111">
        <f t="shared" ref="Z111:Z116" si="69">IF(AA111="",Z110,Z110+1)</f>
        <v>1</v>
      </c>
      <c r="AA111" t="str">
        <f t="shared" ref="AA111:AA116" si="70">IF(AND($E79&gt;0,$E79&lt;&gt;AC$2),"",$C79)</f>
        <v>Rangers</v>
      </c>
      <c r="AB111">
        <f>IF(AC111="",AB110,AB110+1)</f>
        <v>1</v>
      </c>
      <c r="AC111" t="str">
        <f t="shared" ref="AC111:AC116" si="71">IF(AND($E79&gt;0,$E79&lt;&gt;AD$2),"",$C79)</f>
        <v>Rangers</v>
      </c>
    </row>
    <row r="112" spans="1:29" x14ac:dyDescent="0.3">
      <c r="A112" s="6" t="s">
        <v>324</v>
      </c>
      <c r="B112" t="s">
        <v>325</v>
      </c>
      <c r="C112" t="s">
        <v>323</v>
      </c>
      <c r="D112" t="s">
        <v>322</v>
      </c>
      <c r="E112" t="s">
        <v>323</v>
      </c>
      <c r="F112" s="18"/>
      <c r="G112" s="26" t="s">
        <v>321</v>
      </c>
      <c r="H112" s="22">
        <v>9</v>
      </c>
      <c r="I112" s="22">
        <v>9</v>
      </c>
      <c r="J112" s="22">
        <v>9</v>
      </c>
      <c r="K112" s="22">
        <v>10</v>
      </c>
      <c r="L112" s="22">
        <v>11</v>
      </c>
      <c r="M112" s="22">
        <v>12</v>
      </c>
      <c r="O112" t="s">
        <v>326</v>
      </c>
      <c r="X112">
        <f t="shared" si="67"/>
        <v>2</v>
      </c>
      <c r="Y112" t="str">
        <f t="shared" si="68"/>
        <v>Mayors</v>
      </c>
      <c r="Z112">
        <f t="shared" si="69"/>
        <v>2</v>
      </c>
      <c r="AA112" t="str">
        <f t="shared" si="70"/>
        <v>Mayors</v>
      </c>
      <c r="AB112">
        <f t="shared" ref="AB112:AB116" si="72">IF(AC112="",AB111,AB111+1)</f>
        <v>2</v>
      </c>
      <c r="AC112" t="str">
        <f t="shared" si="71"/>
        <v>Mayors</v>
      </c>
    </row>
    <row r="113" spans="1:31" ht="45" customHeight="1" x14ac:dyDescent="0.3">
      <c r="A113">
        <v>1</v>
      </c>
      <c r="B113" s="30">
        <f ca="1">IF(AND(B141&gt;8,B141&lt;13),B141,0)</f>
        <v>0</v>
      </c>
      <c r="C113" s="39" t="str">
        <f ca="1">IF(AND(B113&lt;&gt;0,$O$113),CHAR(10)&amp;"("&amp;INDEX($E$113:$E$116,MATCH(B113,$D$113:$D$116,0))&amp;")","")</f>
        <v/>
      </c>
      <c r="D113">
        <v>9</v>
      </c>
      <c r="E113" t="str">
        <f ca="1">INDEX($C$119:$C$133,H$116)&amp;", "&amp;INDEX($C$119:$C$133,I$116)&amp;", "&amp;INDEX($C$119:$C$133,J$116)</f>
        <v>Mountain, Resettlement, Canyon</v>
      </c>
      <c r="G113" s="22"/>
      <c r="H113" s="22"/>
      <c r="I113" s="22"/>
      <c r="J113" s="22"/>
      <c r="K113" s="22"/>
      <c r="L113" s="22"/>
      <c r="M113" s="22"/>
      <c r="O113" t="b">
        <f>Options!F12=lngYES</f>
        <v>1</v>
      </c>
      <c r="X113">
        <f t="shared" si="67"/>
        <v>3</v>
      </c>
      <c r="Y113" t="str">
        <f t="shared" si="68"/>
        <v>Chainers</v>
      </c>
      <c r="Z113">
        <f t="shared" si="69"/>
        <v>3</v>
      </c>
      <c r="AA113" t="str">
        <f t="shared" si="70"/>
        <v>Chainers</v>
      </c>
      <c r="AB113">
        <f t="shared" si="72"/>
        <v>3</v>
      </c>
      <c r="AC113" t="str">
        <f t="shared" si="71"/>
        <v>Chainers</v>
      </c>
    </row>
    <row r="114" spans="1:31" ht="45" customHeight="1" x14ac:dyDescent="0.3">
      <c r="A114">
        <v>2</v>
      </c>
      <c r="B114" s="30">
        <f ca="1">IF(AND(C$141&gt;8,C$141&lt;13),C$141,0)</f>
        <v>0</v>
      </c>
      <c r="C114" s="39" t="str">
        <f ca="1">IF(AND(B114&lt;&gt;0,$O$113),CHAR(10)&amp;"("&amp;INDEX($E$113:$E$116,MATCH(B114,$D$113:$D$116,0))&amp;")","")</f>
        <v/>
      </c>
      <c r="D114">
        <v>10</v>
      </c>
      <c r="E114" t="str">
        <f ca="1">INDEX($C$119:$C$133,K$116)</f>
        <v>Forest</v>
      </c>
      <c r="G114" s="22"/>
      <c r="H114" s="22"/>
      <c r="I114" s="22"/>
      <c r="J114" s="22"/>
      <c r="K114" s="22"/>
      <c r="L114" s="22"/>
      <c r="M114" s="22"/>
      <c r="X114">
        <f t="shared" si="67"/>
        <v>4</v>
      </c>
      <c r="Y114" t="str">
        <f t="shared" si="68"/>
        <v>Travellers</v>
      </c>
      <c r="Z114">
        <f t="shared" si="69"/>
        <v>4</v>
      </c>
      <c r="AA114" t="str">
        <f t="shared" si="70"/>
        <v>Travellers</v>
      </c>
      <c r="AB114">
        <f t="shared" si="72"/>
        <v>4</v>
      </c>
      <c r="AC114" t="str">
        <f t="shared" si="71"/>
        <v>Travellers</v>
      </c>
    </row>
    <row r="115" spans="1:31" ht="45" customHeight="1" x14ac:dyDescent="0.3">
      <c r="A115">
        <v>3</v>
      </c>
      <c r="B115" s="30">
        <f ca="1">IF(AND(D$141&gt;8,D$141&lt;13),D$141,0)</f>
        <v>0</v>
      </c>
      <c r="C115" s="39" t="str">
        <f ca="1">IF(AND(B115&lt;&gt;0,$O$113),CHAR(10)&amp;"("&amp;INDEX($E$113:$E$116,MATCH(B115,$D$113:$D$116,0))&amp;")","")</f>
        <v/>
      </c>
      <c r="D115">
        <v>11</v>
      </c>
      <c r="E115" t="str">
        <f ca="1">INDEX($C$119:$C$133,L$116)</f>
        <v>Treasure</v>
      </c>
      <c r="G115" s="22" t="s">
        <v>26</v>
      </c>
      <c r="H115" s="22">
        <f t="shared" ref="H115:M115" ca="1" si="73">RANDBETWEEN(1,SUM(H119:H133))</f>
        <v>1</v>
      </c>
      <c r="I115" s="22">
        <f t="shared" ca="1" si="73"/>
        <v>8</v>
      </c>
      <c r="J115" s="22">
        <f t="shared" ca="1" si="73"/>
        <v>2</v>
      </c>
      <c r="K115" s="22">
        <f t="shared" ca="1" si="73"/>
        <v>4</v>
      </c>
      <c r="L115" s="22">
        <f t="shared" ca="1" si="73"/>
        <v>10</v>
      </c>
      <c r="M115" s="22">
        <f t="shared" ca="1" si="73"/>
        <v>3</v>
      </c>
      <c r="X115">
        <f t="shared" si="67"/>
        <v>5</v>
      </c>
      <c r="Y115" t="str">
        <f t="shared" si="68"/>
        <v>Homesteaders</v>
      </c>
      <c r="Z115">
        <f t="shared" si="69"/>
        <v>5</v>
      </c>
      <c r="AA115" t="str">
        <f t="shared" si="70"/>
        <v>Homesteaders</v>
      </c>
      <c r="AB115">
        <f t="shared" si="72"/>
        <v>5</v>
      </c>
      <c r="AC115" t="str">
        <f t="shared" si="71"/>
        <v>Homesteaders</v>
      </c>
    </row>
    <row r="116" spans="1:31" ht="45" customHeight="1" x14ac:dyDescent="0.3">
      <c r="A116">
        <v>4</v>
      </c>
      <c r="B116" s="30">
        <f ca="1">IF(AND(E$141&gt;8,E$141&lt;13),E$141,0)</f>
        <v>0</v>
      </c>
      <c r="C116" s="39" t="str">
        <f ca="1">IF(AND(B116&lt;&gt;0,$O$113),CHAR(10)&amp;"("&amp;INDEX($E$113:$E$116,MATCH(B116,$D$113:$D$116,0))&amp;")","")</f>
        <v/>
      </c>
      <c r="D116">
        <v>12</v>
      </c>
      <c r="E116" t="str">
        <f ca="1">INDEX($C$119:$C$133,M$116)</f>
        <v>Flower field</v>
      </c>
      <c r="G116" s="22" t="s">
        <v>33</v>
      </c>
      <c r="H116" s="22">
        <f t="shared" ref="H116:M116" ca="1" si="74">INDEX($A119:$A133,MATCH(H115,N119:N133,0))</f>
        <v>1</v>
      </c>
      <c r="I116" s="22">
        <f t="shared" ca="1" si="74"/>
        <v>9</v>
      </c>
      <c r="J116" s="22">
        <f t="shared" ca="1" si="74"/>
        <v>3</v>
      </c>
      <c r="K116" s="22">
        <f t="shared" ca="1" si="74"/>
        <v>6</v>
      </c>
      <c r="L116" s="22">
        <f t="shared" ca="1" si="74"/>
        <v>14</v>
      </c>
      <c r="M116" s="22">
        <f t="shared" ca="1" si="74"/>
        <v>5</v>
      </c>
      <c r="X116">
        <f t="shared" si="67"/>
        <v>6</v>
      </c>
      <c r="Y116" t="str">
        <f t="shared" si="68"/>
        <v>Rovers</v>
      </c>
      <c r="Z116">
        <f t="shared" si="69"/>
        <v>6</v>
      </c>
      <c r="AA116" t="str">
        <f t="shared" si="70"/>
        <v>Rovers</v>
      </c>
      <c r="AB116">
        <f t="shared" si="72"/>
        <v>6</v>
      </c>
      <c r="AC116" t="str">
        <f t="shared" si="71"/>
        <v>Rovers</v>
      </c>
    </row>
    <row r="117" spans="1:31" ht="21" x14ac:dyDescent="0.4">
      <c r="A117" s="201" t="s">
        <v>39</v>
      </c>
      <c r="B117" s="201"/>
      <c r="C117" s="201"/>
      <c r="D117" s="201"/>
      <c r="E117" s="201"/>
      <c r="F117" s="201"/>
      <c r="G117" s="184" t="s">
        <v>122</v>
      </c>
      <c r="H117" s="220"/>
      <c r="I117" s="220"/>
      <c r="J117" s="220"/>
      <c r="K117" s="220"/>
      <c r="L117" s="220"/>
      <c r="M117" s="185"/>
      <c r="N117" s="212" t="s">
        <v>30</v>
      </c>
      <c r="O117" s="212"/>
      <c r="P117" s="212"/>
      <c r="Q117" s="212"/>
      <c r="R117" s="212"/>
      <c r="S117" s="212"/>
      <c r="T117" s="59"/>
      <c r="X117">
        <v>1</v>
      </c>
      <c r="Y117" t="str">
        <f t="shared" ref="Y117:Y122" si="75">IFERROR(VLOOKUP(X117,$X$111:$Y$116,2,0),"")</f>
        <v>Rangers</v>
      </c>
      <c r="Z117">
        <v>1</v>
      </c>
      <c r="AA117" t="str">
        <f t="shared" ref="AA117:AA122" si="76">IFERROR(VLOOKUP(Z117,$Z$111:$AA$116,2,0),"")</f>
        <v>Rangers</v>
      </c>
      <c r="AB117">
        <v>1</v>
      </c>
      <c r="AC117" t="str">
        <f t="shared" ref="AC117:AC122" si="77">IFERROR(VLOOKUP(AB117,$AB$111:$AC$116,2,0),"")</f>
        <v>Rangers</v>
      </c>
    </row>
    <row r="118" spans="1:31" x14ac:dyDescent="0.3">
      <c r="A118" s="11" t="s">
        <v>109</v>
      </c>
      <c r="B118" s="11" t="s">
        <v>110</v>
      </c>
      <c r="C118" s="11" t="s">
        <v>111</v>
      </c>
      <c r="D118" s="11"/>
      <c r="E118" s="11"/>
      <c r="F118" s="42"/>
      <c r="G118" s="186"/>
      <c r="H118" s="221"/>
      <c r="I118" s="221"/>
      <c r="J118" s="221"/>
      <c r="K118" s="221"/>
      <c r="L118" s="221"/>
      <c r="M118" s="187"/>
      <c r="N118" s="212"/>
      <c r="O118" s="212"/>
      <c r="P118" s="212"/>
      <c r="Q118" s="212"/>
      <c r="R118" s="212"/>
      <c r="S118" s="212"/>
      <c r="T118" s="59"/>
      <c r="X118">
        <v>2</v>
      </c>
      <c r="Y118" t="str">
        <f t="shared" si="75"/>
        <v>Mayors</v>
      </c>
      <c r="Z118">
        <v>2</v>
      </c>
      <c r="AA118" t="str">
        <f t="shared" si="76"/>
        <v>Mayors</v>
      </c>
      <c r="AB118">
        <v>2</v>
      </c>
      <c r="AC118" t="str">
        <f t="shared" si="77"/>
        <v>Mayors</v>
      </c>
    </row>
    <row r="119" spans="1:31" x14ac:dyDescent="0.3">
      <c r="A119" s="3">
        <v>1</v>
      </c>
      <c r="B119" s="3"/>
      <c r="C119" s="3" t="str">
        <f>INDEX(lang!77:77,1,LNG)</f>
        <v>Mountain</v>
      </c>
      <c r="D119" s="3"/>
      <c r="E119" s="29"/>
      <c r="F119" s="3"/>
      <c r="G119" s="7"/>
      <c r="H119" s="3">
        <f>IF(ISERROR(MATCH($A119,$G$116:G$116,0)),1,0)</f>
        <v>1</v>
      </c>
      <c r="I119" s="3">
        <f ca="1">IF(ISERROR(MATCH($A119,$G$116:H$116,0)),1,0)</f>
        <v>0</v>
      </c>
      <c r="J119" s="3">
        <f ca="1">IF(ISERROR(MATCH($A119,$G$116:I$116,0)),1,0)</f>
        <v>0</v>
      </c>
      <c r="K119" s="3">
        <f ca="1">IF(ISERROR(MATCH($A119,$G$116:J$116,0)),1,0)</f>
        <v>0</v>
      </c>
      <c r="L119" s="3">
        <f ca="1">IF(ISERROR(MATCH($A119,$G$116:K$116,0)),1,0)</f>
        <v>0</v>
      </c>
      <c r="M119" s="3">
        <f ca="1">IF(ISERROR(MATCH($A119,$G$116:L$116,0)),1,0)</f>
        <v>0</v>
      </c>
      <c r="N119" s="32">
        <f>SUM(H$119:H119)</f>
        <v>1</v>
      </c>
      <c r="O119" s="32">
        <f ca="1">SUM(I$119:I119)</f>
        <v>0</v>
      </c>
      <c r="P119" s="32">
        <f ca="1">SUM(J$119:J119)</f>
        <v>0</v>
      </c>
      <c r="Q119" s="32">
        <f ca="1">SUM(K$119:K119)</f>
        <v>0</v>
      </c>
      <c r="R119" s="32">
        <f ca="1">SUM(L$119:L119)</f>
        <v>0</v>
      </c>
      <c r="S119" s="32">
        <f ca="1">SUM(M$119:M119)</f>
        <v>0</v>
      </c>
      <c r="T119" s="47"/>
      <c r="X119">
        <v>3</v>
      </c>
      <c r="Y119" t="str">
        <f t="shared" si="75"/>
        <v>Chainers</v>
      </c>
      <c r="Z119">
        <v>3</v>
      </c>
      <c r="AA119" t="str">
        <f t="shared" si="76"/>
        <v>Chainers</v>
      </c>
      <c r="AB119">
        <v>3</v>
      </c>
      <c r="AC119" t="str">
        <f t="shared" si="77"/>
        <v>Chainers</v>
      </c>
    </row>
    <row r="120" spans="1:31" x14ac:dyDescent="0.3">
      <c r="A120" s="3">
        <f t="shared" ref="A120:A133" si="78">A119+1</f>
        <v>2</v>
      </c>
      <c r="B120" s="3"/>
      <c r="C120" s="3" t="str">
        <f>INDEX(lang!78:78,1,LNG)</f>
        <v>Water</v>
      </c>
      <c r="D120" s="3"/>
      <c r="E120" s="29"/>
      <c r="F120" s="3"/>
      <c r="G120" s="7"/>
      <c r="H120" s="3">
        <f>IF(ISERROR(MATCH($A120,$G$116:G$116,0)),1,0)</f>
        <v>1</v>
      </c>
      <c r="I120" s="3">
        <f ca="1">IF(ISERROR(MATCH($A120,$G$116:H$116,0)),1,0)</f>
        <v>1</v>
      </c>
      <c r="J120" s="3">
        <f ca="1">IF(ISERROR(MATCH($A120,$G$116:I$116,0)),1,0)</f>
        <v>1</v>
      </c>
      <c r="K120" s="3">
        <f ca="1">IF(ISERROR(MATCH($A120,$G$116:J$116,0)),1,0)</f>
        <v>1</v>
      </c>
      <c r="L120" s="3">
        <f ca="1">IF(ISERROR(MATCH($A120,$G$116:K$116,0)),1,0)</f>
        <v>1</v>
      </c>
      <c r="M120" s="3">
        <f ca="1">IF(ISERROR(MATCH($A120,$G$116:L$116,0)),1,0)</f>
        <v>1</v>
      </c>
      <c r="N120" s="32">
        <f>SUM(H$119:H120)</f>
        <v>2</v>
      </c>
      <c r="O120" s="32">
        <f ca="1">SUM(I$119:I120)</f>
        <v>1</v>
      </c>
      <c r="P120" s="32">
        <f ca="1">SUM(J$119:J120)</f>
        <v>1</v>
      </c>
      <c r="Q120" s="32">
        <f ca="1">SUM(K$119:K120)</f>
        <v>1</v>
      </c>
      <c r="R120" s="32">
        <f ca="1">SUM(L$119:L120)</f>
        <v>1</v>
      </c>
      <c r="S120" s="32">
        <f ca="1">SUM(M$119:M120)</f>
        <v>1</v>
      </c>
      <c r="T120" s="47"/>
      <c r="X120">
        <v>4</v>
      </c>
      <c r="Y120" t="str">
        <f t="shared" si="75"/>
        <v>Travellers</v>
      </c>
      <c r="Z120">
        <v>4</v>
      </c>
      <c r="AA120" t="str">
        <f t="shared" si="76"/>
        <v>Travellers</v>
      </c>
      <c r="AB120">
        <v>4</v>
      </c>
      <c r="AC120" t="str">
        <f t="shared" si="77"/>
        <v>Travellers</v>
      </c>
    </row>
    <row r="121" spans="1:31" x14ac:dyDescent="0.3">
      <c r="A121" s="3">
        <f t="shared" si="78"/>
        <v>3</v>
      </c>
      <c r="B121" s="3"/>
      <c r="C121" s="3" t="str">
        <f>INDEX(lang!79:79,1,LNG)</f>
        <v>Canyon</v>
      </c>
      <c r="D121" s="3"/>
      <c r="E121" s="29"/>
      <c r="F121" s="3"/>
      <c r="G121" s="7"/>
      <c r="H121" s="3">
        <f>IF(ISERROR(MATCH($A121,$G$116:G$116,0)),1,0)</f>
        <v>1</v>
      </c>
      <c r="I121" s="3">
        <f ca="1">IF(ISERROR(MATCH($A121,$G$116:H$116,0)),1,0)</f>
        <v>1</v>
      </c>
      <c r="J121" s="3">
        <f ca="1">IF(ISERROR(MATCH($A121,$G$116:I$116,0)),1,0)</f>
        <v>1</v>
      </c>
      <c r="K121" s="3">
        <f ca="1">IF(ISERROR(MATCH($A121,$G$116:J$116,0)),1,0)</f>
        <v>0</v>
      </c>
      <c r="L121" s="3">
        <f ca="1">IF(ISERROR(MATCH($A121,$G$116:K$116,0)),1,0)</f>
        <v>0</v>
      </c>
      <c r="M121" s="3">
        <f ca="1">IF(ISERROR(MATCH($A121,$G$116:L$116,0)),1,0)</f>
        <v>0</v>
      </c>
      <c r="N121" s="32">
        <f>SUM(H$119:H121)</f>
        <v>3</v>
      </c>
      <c r="O121" s="32">
        <f ca="1">SUM(I$119:I121)</f>
        <v>2</v>
      </c>
      <c r="P121" s="32">
        <f ca="1">SUM(J$119:J121)</f>
        <v>2</v>
      </c>
      <c r="Q121" s="32">
        <f ca="1">SUM(K$119:K121)</f>
        <v>1</v>
      </c>
      <c r="R121" s="32">
        <f ca="1">SUM(L$119:L121)</f>
        <v>1</v>
      </c>
      <c r="S121" s="32">
        <f ca="1">SUM(M$119:M121)</f>
        <v>1</v>
      </c>
      <c r="T121" s="47"/>
      <c r="X121">
        <v>5</v>
      </c>
      <c r="Y121" t="str">
        <f t="shared" si="75"/>
        <v>Homesteaders</v>
      </c>
      <c r="Z121">
        <v>5</v>
      </c>
      <c r="AA121" t="str">
        <f t="shared" si="76"/>
        <v>Homesteaders</v>
      </c>
      <c r="AB121">
        <v>5</v>
      </c>
      <c r="AC121" t="str">
        <f t="shared" si="77"/>
        <v>Homesteaders</v>
      </c>
    </row>
    <row r="122" spans="1:31" x14ac:dyDescent="0.3">
      <c r="A122" s="3">
        <f t="shared" si="78"/>
        <v>4</v>
      </c>
      <c r="B122" s="3"/>
      <c r="C122" s="3" t="str">
        <f>INDEX(lang!80:80,1,LNG)</f>
        <v>Desert</v>
      </c>
      <c r="D122" s="3"/>
      <c r="E122" s="29"/>
      <c r="F122" s="3"/>
      <c r="G122" s="7"/>
      <c r="H122" s="3">
        <f>IF(ISERROR(MATCH($A122,$G$116:G$116,0)),1,0)</f>
        <v>1</v>
      </c>
      <c r="I122" s="3">
        <f ca="1">IF(ISERROR(MATCH($A122,$G$116:H$116,0)),1,0)</f>
        <v>1</v>
      </c>
      <c r="J122" s="3">
        <f ca="1">IF(ISERROR(MATCH($A122,$G$116:I$116,0)),1,0)</f>
        <v>1</v>
      </c>
      <c r="K122" s="3">
        <f ca="1">IF(ISERROR(MATCH($A122,$G$116:J$116,0)),1,0)</f>
        <v>1</v>
      </c>
      <c r="L122" s="3">
        <f ca="1">IF(ISERROR(MATCH($A122,$G$116:K$116,0)),1,0)</f>
        <v>1</v>
      </c>
      <c r="M122" s="3">
        <f ca="1">IF(ISERROR(MATCH($A122,$G$116:L$116,0)),1,0)</f>
        <v>1</v>
      </c>
      <c r="N122" s="32">
        <f>SUM(H$119:H122)</f>
        <v>4</v>
      </c>
      <c r="O122" s="32">
        <f ca="1">SUM(I$119:I122)</f>
        <v>3</v>
      </c>
      <c r="P122" s="32">
        <f ca="1">SUM(J$119:J122)</f>
        <v>3</v>
      </c>
      <c r="Q122" s="32">
        <f ca="1">SUM(K$119:K122)</f>
        <v>2</v>
      </c>
      <c r="R122" s="32">
        <f ca="1">SUM(L$119:L122)</f>
        <v>2</v>
      </c>
      <c r="S122" s="32">
        <f ca="1">SUM(M$119:M122)</f>
        <v>2</v>
      </c>
      <c r="T122" s="47"/>
      <c r="X122">
        <v>6</v>
      </c>
      <c r="Y122" t="str">
        <f t="shared" si="75"/>
        <v>Rovers</v>
      </c>
      <c r="Z122">
        <v>6</v>
      </c>
      <c r="AA122" t="str">
        <f t="shared" si="76"/>
        <v>Rovers</v>
      </c>
      <c r="AB122">
        <v>6</v>
      </c>
      <c r="AC122" t="str">
        <f t="shared" si="77"/>
        <v>Rovers</v>
      </c>
    </row>
    <row r="123" spans="1:31" x14ac:dyDescent="0.3">
      <c r="A123" s="3">
        <f t="shared" si="78"/>
        <v>5</v>
      </c>
      <c r="B123" s="3"/>
      <c r="C123" s="3" t="str">
        <f>INDEX(lang!81:81,1,LNG)</f>
        <v>Flower field</v>
      </c>
      <c r="D123" s="3"/>
      <c r="E123" s="29"/>
      <c r="F123" s="3"/>
      <c r="G123" s="7"/>
      <c r="H123" s="3">
        <f>IF(ISERROR(MATCH($A123,$G$116:G$116,0)),1,0)</f>
        <v>1</v>
      </c>
      <c r="I123" s="3">
        <f ca="1">IF(ISERROR(MATCH($A123,$G$116:H$116,0)),1,0)</f>
        <v>1</v>
      </c>
      <c r="J123" s="3">
        <f ca="1">IF(ISERROR(MATCH($A123,$G$116:I$116,0)),1,0)</f>
        <v>1</v>
      </c>
      <c r="K123" s="3">
        <f ca="1">IF(ISERROR(MATCH($A123,$G$116:J$116,0)),1,0)</f>
        <v>1</v>
      </c>
      <c r="L123" s="3">
        <f ca="1">IF(ISERROR(MATCH($A123,$G$116:K$116,0)),1,0)</f>
        <v>1</v>
      </c>
      <c r="M123" s="3">
        <f ca="1">IF(ISERROR(MATCH($A123,$G$116:L$116,0)),1,0)</f>
        <v>1</v>
      </c>
      <c r="N123" s="32">
        <f>SUM(H$119:H123)</f>
        <v>5</v>
      </c>
      <c r="O123" s="32">
        <f ca="1">SUM(I$119:I123)</f>
        <v>4</v>
      </c>
      <c r="P123" s="32">
        <f ca="1">SUM(J$119:J123)</f>
        <v>4</v>
      </c>
      <c r="Q123" s="32">
        <f ca="1">SUM(K$119:K123)</f>
        <v>3</v>
      </c>
      <c r="R123" s="32">
        <f ca="1">SUM(L$119:L123)</f>
        <v>3</v>
      </c>
      <c r="S123" s="32">
        <f ca="1">SUM(M$119:M123)</f>
        <v>3</v>
      </c>
      <c r="T123" s="47"/>
    </row>
    <row r="124" spans="1:31" x14ac:dyDescent="0.3">
      <c r="A124" s="3">
        <f t="shared" si="78"/>
        <v>6</v>
      </c>
      <c r="B124" s="3"/>
      <c r="C124" s="3" t="str">
        <f>INDEX(lang!82:82,1,LNG)</f>
        <v>Forest</v>
      </c>
      <c r="D124" s="3"/>
      <c r="E124" s="29"/>
      <c r="F124" s="3"/>
      <c r="G124" s="7"/>
      <c r="H124" s="3">
        <f>IF(ISERROR(MATCH($A124,$G$116:G$116,0)),1,0)</f>
        <v>1</v>
      </c>
      <c r="I124" s="3">
        <f ca="1">IF(ISERROR(MATCH($A124,$G$116:H$116,0)),1,0)</f>
        <v>1</v>
      </c>
      <c r="J124" s="3">
        <f ca="1">IF(ISERROR(MATCH($A124,$G$116:I$116,0)),1,0)</f>
        <v>1</v>
      </c>
      <c r="K124" s="3">
        <f ca="1">IF(ISERROR(MATCH($A124,$G$116:J$116,0)),1,0)</f>
        <v>1</v>
      </c>
      <c r="L124" s="3">
        <f ca="1">IF(ISERROR(MATCH($A124,$G$116:K$116,0)),1,0)</f>
        <v>0</v>
      </c>
      <c r="M124" s="3">
        <f ca="1">IF(ISERROR(MATCH($A124,$G$116:L$116,0)),1,0)</f>
        <v>0</v>
      </c>
      <c r="N124" s="32">
        <f>SUM(H$119:H124)</f>
        <v>6</v>
      </c>
      <c r="O124" s="32">
        <f ca="1">SUM(I$119:I124)</f>
        <v>5</v>
      </c>
      <c r="P124" s="32">
        <f ca="1">SUM(J$119:J124)</f>
        <v>5</v>
      </c>
      <c r="Q124" s="32">
        <f ca="1">SUM(K$119:K124)</f>
        <v>4</v>
      </c>
      <c r="R124" s="32">
        <f ca="1">SUM(L$119:L124)</f>
        <v>3</v>
      </c>
      <c r="S124" s="32">
        <f ca="1">SUM(M$119:M124)</f>
        <v>3</v>
      </c>
      <c r="T124" s="47"/>
    </row>
    <row r="125" spans="1:31" x14ac:dyDescent="0.3">
      <c r="A125" s="3">
        <f t="shared" si="78"/>
        <v>7</v>
      </c>
      <c r="B125" s="3"/>
      <c r="C125" s="3" t="str">
        <f>INDEX(lang!83:83,1,LNG)</f>
        <v>Grass</v>
      </c>
      <c r="D125" s="3"/>
      <c r="E125" s="29"/>
      <c r="F125" s="3"/>
      <c r="G125" s="7"/>
      <c r="H125" s="3">
        <f>IF(ISERROR(MATCH($A125,$G$116:G$116,0)),1,0)</f>
        <v>1</v>
      </c>
      <c r="I125" s="3">
        <f ca="1">IF(ISERROR(MATCH($A125,$G$116:H$116,0)),1,0)</f>
        <v>1</v>
      </c>
      <c r="J125" s="3">
        <f ca="1">IF(ISERROR(MATCH($A125,$G$116:I$116,0)),1,0)</f>
        <v>1</v>
      </c>
      <c r="K125" s="3">
        <f ca="1">IF(ISERROR(MATCH($A125,$G$116:J$116,0)),1,0)</f>
        <v>1</v>
      </c>
      <c r="L125" s="3">
        <f ca="1">IF(ISERROR(MATCH($A125,$G$116:K$116,0)),1,0)</f>
        <v>1</v>
      </c>
      <c r="M125" s="3">
        <f ca="1">IF(ISERROR(MATCH($A125,$G$116:L$116,0)),1,0)</f>
        <v>1</v>
      </c>
      <c r="N125" s="32">
        <f>SUM(H$119:H125)</f>
        <v>7</v>
      </c>
      <c r="O125" s="32">
        <f ca="1">SUM(I$119:I125)</f>
        <v>6</v>
      </c>
      <c r="P125" s="32">
        <f ca="1">SUM(J$119:J125)</f>
        <v>6</v>
      </c>
      <c r="Q125" s="32">
        <f ca="1">SUM(K$119:K125)</f>
        <v>5</v>
      </c>
      <c r="R125" s="32">
        <f ca="1">SUM(L$119:L125)</f>
        <v>4</v>
      </c>
      <c r="S125" s="32">
        <f ca="1">SUM(M$119:M125)</f>
        <v>4</v>
      </c>
      <c r="T125" s="47"/>
    </row>
    <row r="126" spans="1:31" x14ac:dyDescent="0.3">
      <c r="A126" s="3">
        <f t="shared" si="78"/>
        <v>8</v>
      </c>
      <c r="B126" s="3"/>
      <c r="C126" s="3" t="str">
        <f>INDEX(lang!84:84,1,LNG)</f>
        <v>Resettlement</v>
      </c>
      <c r="D126" s="3"/>
      <c r="E126" s="29"/>
      <c r="F126" s="3"/>
      <c r="G126" s="7"/>
      <c r="H126" s="3">
        <f>IF(ISERROR(MATCH($A126,$G$116:G$116,0)),1,0)</f>
        <v>1</v>
      </c>
      <c r="I126" s="3">
        <f ca="1">IF(ISERROR(MATCH($A126,$G$116:H$116,0)),1,0)</f>
        <v>1</v>
      </c>
      <c r="J126" s="3">
        <f ca="1">IF(ISERROR(MATCH($A126,$G$116:I$116,0)),1,0)</f>
        <v>1</v>
      </c>
      <c r="K126" s="3">
        <f ca="1">IF(ISERROR(MATCH($A126,$G$116:J$116,0)),1,0)</f>
        <v>1</v>
      </c>
      <c r="L126" s="3">
        <f ca="1">IF(ISERROR(MATCH($A126,$G$116:K$116,0)),1,0)</f>
        <v>1</v>
      </c>
      <c r="M126" s="3">
        <f ca="1">IF(ISERROR(MATCH($A126,$G$116:L$116,0)),1,0)</f>
        <v>1</v>
      </c>
      <c r="N126" s="32">
        <f>SUM(H$119:H126)</f>
        <v>8</v>
      </c>
      <c r="O126" s="32">
        <f ca="1">SUM(I$119:I126)</f>
        <v>7</v>
      </c>
      <c r="P126" s="32">
        <f ca="1">SUM(J$119:J126)</f>
        <v>7</v>
      </c>
      <c r="Q126" s="32">
        <f ca="1">SUM(K$119:K126)</f>
        <v>6</v>
      </c>
      <c r="R126" s="32">
        <f ca="1">SUM(L$119:L126)</f>
        <v>5</v>
      </c>
      <c r="S126" s="32">
        <f ca="1">SUM(M$119:M126)</f>
        <v>5</v>
      </c>
      <c r="T126" s="47"/>
    </row>
    <row r="127" spans="1:31" x14ac:dyDescent="0.3">
      <c r="A127" s="3">
        <f t="shared" si="78"/>
        <v>9</v>
      </c>
      <c r="B127" s="3"/>
      <c r="C127" s="3" t="str">
        <f>INDEX(lang!84:84,1,LNG)</f>
        <v>Resettlement</v>
      </c>
      <c r="D127" s="3"/>
      <c r="E127" s="29"/>
      <c r="F127" s="3"/>
      <c r="G127" s="7"/>
      <c r="H127" s="3">
        <f>IF(ISERROR(MATCH($A127,$G$116:G$116,0)),1,0)</f>
        <v>1</v>
      </c>
      <c r="I127" s="3">
        <f ca="1">IF(ISERROR(MATCH($A127,$G$116:H$116,0)),1,0)</f>
        <v>1</v>
      </c>
      <c r="J127" s="3">
        <f ca="1">IF(ISERROR(MATCH($A127,$G$116:I$116,0)),1,0)</f>
        <v>0</v>
      </c>
      <c r="K127" s="3">
        <f ca="1">IF(ISERROR(MATCH($A127,$G$116:J$116,0)),1,0)</f>
        <v>0</v>
      </c>
      <c r="L127" s="3">
        <f ca="1">IF(ISERROR(MATCH($A127,$G$116:K$116,0)),1,0)</f>
        <v>0</v>
      </c>
      <c r="M127" s="3">
        <f ca="1">IF(ISERROR(MATCH($A127,$G$116:L$116,0)),1,0)</f>
        <v>0</v>
      </c>
      <c r="N127" s="32">
        <f>SUM(H$119:H127)</f>
        <v>9</v>
      </c>
      <c r="O127" s="32">
        <f ca="1">SUM(I$119:I127)</f>
        <v>8</v>
      </c>
      <c r="P127" s="32">
        <f ca="1">SUM(J$119:J127)</f>
        <v>7</v>
      </c>
      <c r="Q127" s="32">
        <f ca="1">SUM(K$119:K127)</f>
        <v>6</v>
      </c>
      <c r="R127" s="32">
        <f ca="1">SUM(L$119:L127)</f>
        <v>5</v>
      </c>
      <c r="S127" s="32">
        <f ca="1">SUM(M$119:M127)</f>
        <v>5</v>
      </c>
      <c r="T127" s="47"/>
      <c r="Y127">
        <v>1</v>
      </c>
      <c r="AA127">
        <v>2</v>
      </c>
      <c r="AC127">
        <v>3</v>
      </c>
      <c r="AE127">
        <v>4</v>
      </c>
    </row>
    <row r="128" spans="1:31" x14ac:dyDescent="0.3">
      <c r="A128" s="3">
        <f t="shared" si="78"/>
        <v>10</v>
      </c>
      <c r="B128" s="3"/>
      <c r="C128" s="3" t="str">
        <f>INDEX(lang!85:85,1,LNG)</f>
        <v>Outpost</v>
      </c>
      <c r="D128" s="3"/>
      <c r="E128" s="29"/>
      <c r="F128" s="3"/>
      <c r="G128" s="7"/>
      <c r="H128" s="3">
        <f>IF(ISERROR(MATCH($A128,$G$116:G$116,0)),1,0)</f>
        <v>1</v>
      </c>
      <c r="I128" s="3">
        <f ca="1">IF(ISERROR(MATCH($A128,$G$116:H$116,0)),1,0)</f>
        <v>1</v>
      </c>
      <c r="J128" s="3">
        <f ca="1">IF(ISERROR(MATCH($A128,$G$116:I$116,0)),1,0)</f>
        <v>1</v>
      </c>
      <c r="K128" s="3">
        <f ca="1">IF(ISERROR(MATCH($A128,$G$116:J$116,0)),1,0)</f>
        <v>1</v>
      </c>
      <c r="L128" s="3">
        <f ca="1">IF(ISERROR(MATCH($A128,$G$116:K$116,0)),1,0)</f>
        <v>1</v>
      </c>
      <c r="M128" s="3">
        <f ca="1">IF(ISERROR(MATCH($A128,$G$116:L$116,0)),1,0)</f>
        <v>1</v>
      </c>
      <c r="N128" s="32">
        <f>SUM(H$119:H128)</f>
        <v>10</v>
      </c>
      <c r="O128" s="32">
        <f ca="1">SUM(I$119:I128)</f>
        <v>9</v>
      </c>
      <c r="P128" s="32">
        <f ca="1">SUM(J$119:J128)</f>
        <v>8</v>
      </c>
      <c r="Q128" s="32">
        <f ca="1">SUM(K$119:K128)</f>
        <v>7</v>
      </c>
      <c r="R128" s="32">
        <f ca="1">SUM(L$119:L128)</f>
        <v>6</v>
      </c>
      <c r="S128" s="32">
        <f ca="1">SUM(M$119:M128)</f>
        <v>6</v>
      </c>
      <c r="T128" s="47"/>
      <c r="X128">
        <f t="shared" ref="X128:X133" si="79">IF(Y128="",X127,X127+1)</f>
        <v>1</v>
      </c>
      <c r="Y128" t="str">
        <f t="shared" ref="Y128:Y133" si="80">IF(AND($E99&gt;0,$E99&lt;&gt;AB$2),"",$C99)</f>
        <v>Home country</v>
      </c>
      <c r="Z128">
        <f t="shared" ref="Z128:Z133" si="81">IF(AA128="",Z127,Z127+1)</f>
        <v>1</v>
      </c>
      <c r="AA128" t="str">
        <f t="shared" ref="AA128:AA133" si="82">IF(AND($E99&gt;0,$E99&lt;&gt;AC$2),"",$C99)</f>
        <v>Home country</v>
      </c>
      <c r="AB128">
        <f>IF(AC128="",AB127,AB127+1)</f>
        <v>1</v>
      </c>
      <c r="AC128" t="str">
        <f t="shared" ref="AC128:AC133" si="83">IF(AND($E99&gt;0,$E99&lt;&gt;AD$2),"",$C99)</f>
        <v>Home country</v>
      </c>
      <c r="AD128">
        <f>IF(AE128="",AD127,AD127+1)</f>
        <v>1</v>
      </c>
      <c r="AE128" t="str">
        <f t="shared" ref="AE128:AE133" si="84">IF(AND($E99&gt;0,$E99&lt;&gt;AE$2),"",$C99)</f>
        <v>Home country</v>
      </c>
    </row>
    <row r="129" spans="1:31" x14ac:dyDescent="0.3">
      <c r="A129" s="3">
        <f t="shared" si="78"/>
        <v>11</v>
      </c>
      <c r="B129" s="3"/>
      <c r="C129" s="3" t="str">
        <f>INDEX(lang!85:85,1,LNG)</f>
        <v>Outpost</v>
      </c>
      <c r="D129" s="3"/>
      <c r="E129" s="29"/>
      <c r="F129" s="3"/>
      <c r="G129" s="7"/>
      <c r="H129" s="3">
        <f>IF(ISERROR(MATCH($A129,$G$116:G$116,0)),1,0)</f>
        <v>1</v>
      </c>
      <c r="I129" s="3">
        <f ca="1">IF(ISERROR(MATCH($A129,$G$116:H$116,0)),1,0)</f>
        <v>1</v>
      </c>
      <c r="J129" s="3">
        <f ca="1">IF(ISERROR(MATCH($A129,$G$116:I$116,0)),1,0)</f>
        <v>1</v>
      </c>
      <c r="K129" s="3">
        <f ca="1">IF(ISERROR(MATCH($A129,$G$116:J$116,0)),1,0)</f>
        <v>1</v>
      </c>
      <c r="L129" s="3">
        <f ca="1">IF(ISERROR(MATCH($A129,$G$116:K$116,0)),1,0)</f>
        <v>1</v>
      </c>
      <c r="M129" s="3">
        <f ca="1">IF(ISERROR(MATCH($A129,$G$116:L$116,0)),1,0)</f>
        <v>1</v>
      </c>
      <c r="N129" s="32">
        <f>SUM(H$119:H129)</f>
        <v>11</v>
      </c>
      <c r="O129" s="32">
        <f ca="1">SUM(I$119:I129)</f>
        <v>10</v>
      </c>
      <c r="P129" s="32">
        <f ca="1">SUM(J$119:J129)</f>
        <v>9</v>
      </c>
      <c r="Q129" s="32">
        <f ca="1">SUM(K$119:K129)</f>
        <v>8</v>
      </c>
      <c r="R129" s="32">
        <f ca="1">SUM(L$119:L129)</f>
        <v>7</v>
      </c>
      <c r="S129" s="32">
        <f ca="1">SUM(M$119:M129)</f>
        <v>7</v>
      </c>
      <c r="T129" s="47"/>
      <c r="X129">
        <f t="shared" si="79"/>
        <v>2</v>
      </c>
      <c r="Y129" t="str">
        <f t="shared" si="80"/>
        <v>Fortress</v>
      </c>
      <c r="Z129">
        <f t="shared" si="81"/>
        <v>2</v>
      </c>
      <c r="AA129" t="str">
        <f t="shared" si="82"/>
        <v>Fortress</v>
      </c>
      <c r="AB129">
        <f t="shared" ref="AB129:AB133" si="85">IF(AC129="",AB128,AB128+1)</f>
        <v>2</v>
      </c>
      <c r="AC129" t="str">
        <f t="shared" si="83"/>
        <v>Fortress</v>
      </c>
      <c r="AD129">
        <f t="shared" ref="AD129:AD133" si="86">IF(AE129="",AD128,AD128+1)</f>
        <v>2</v>
      </c>
      <c r="AE129" t="str">
        <f t="shared" si="84"/>
        <v>Fortress</v>
      </c>
    </row>
    <row r="130" spans="1:31" x14ac:dyDescent="0.3">
      <c r="A130" s="3">
        <f t="shared" si="78"/>
        <v>12</v>
      </c>
      <c r="B130" s="3"/>
      <c r="C130" s="3" t="str">
        <f>INDEX(lang!86:86,1,LNG)</f>
        <v>Sword</v>
      </c>
      <c r="D130" s="3"/>
      <c r="E130" s="29"/>
      <c r="F130" s="3"/>
      <c r="G130" s="7"/>
      <c r="H130" s="3">
        <f>IF(ISERROR(MATCH($A130,$G$116:G$116,0)),1,0)</f>
        <v>1</v>
      </c>
      <c r="I130" s="3">
        <f ca="1">IF(ISERROR(MATCH($A130,$G$116:H$116,0)),1,0)</f>
        <v>1</v>
      </c>
      <c r="J130" s="3">
        <f ca="1">IF(ISERROR(MATCH($A130,$G$116:I$116,0)),1,0)</f>
        <v>1</v>
      </c>
      <c r="K130" s="3">
        <f ca="1">IF(ISERROR(MATCH($A130,$G$116:J$116,0)),1,0)</f>
        <v>1</v>
      </c>
      <c r="L130" s="3">
        <f ca="1">IF(ISERROR(MATCH($A130,$G$116:K$116,0)),1,0)</f>
        <v>1</v>
      </c>
      <c r="M130" s="3">
        <f ca="1">IF(ISERROR(MATCH($A130,$G$116:L$116,0)),1,0)</f>
        <v>1</v>
      </c>
      <c r="N130" s="32">
        <f>SUM(H$119:H130)</f>
        <v>12</v>
      </c>
      <c r="O130" s="32">
        <f ca="1">SUM(I$119:I130)</f>
        <v>11</v>
      </c>
      <c r="P130" s="32">
        <f ca="1">SUM(J$119:J130)</f>
        <v>10</v>
      </c>
      <c r="Q130" s="32">
        <f ca="1">SUM(K$119:K130)</f>
        <v>9</v>
      </c>
      <c r="R130" s="32">
        <f ca="1">SUM(L$119:L130)</f>
        <v>8</v>
      </c>
      <c r="S130" s="32">
        <f ca="1">SUM(M$119:M130)</f>
        <v>8</v>
      </c>
      <c r="T130" s="47"/>
      <c r="X130">
        <f t="shared" si="79"/>
        <v>3</v>
      </c>
      <c r="Y130" t="str">
        <f t="shared" si="80"/>
        <v>Road</v>
      </c>
      <c r="Z130">
        <f t="shared" si="81"/>
        <v>3</v>
      </c>
      <c r="AA130" t="str">
        <f t="shared" si="82"/>
        <v>Road</v>
      </c>
      <c r="AB130">
        <f t="shared" si="85"/>
        <v>3</v>
      </c>
      <c r="AC130" t="str">
        <f t="shared" si="83"/>
        <v>Road</v>
      </c>
      <c r="AD130">
        <f t="shared" si="86"/>
        <v>3</v>
      </c>
      <c r="AE130" t="str">
        <f t="shared" si="84"/>
        <v>Road</v>
      </c>
    </row>
    <row r="131" spans="1:31" x14ac:dyDescent="0.3">
      <c r="A131" s="3">
        <f t="shared" si="78"/>
        <v>13</v>
      </c>
      <c r="B131" s="3"/>
      <c r="C131" s="3" t="str">
        <f>INDEX(lang!86:86,1,LNG)</f>
        <v>Sword</v>
      </c>
      <c r="D131" s="3"/>
      <c r="E131" s="29"/>
      <c r="F131" s="3"/>
      <c r="G131" s="7"/>
      <c r="H131" s="3">
        <f>IF(ISERROR(MATCH($A131,$G$116:G$116,0)),1,0)</f>
        <v>1</v>
      </c>
      <c r="I131" s="3">
        <f ca="1">IF(ISERROR(MATCH($A131,$G$116:H$116,0)),1,0)</f>
        <v>1</v>
      </c>
      <c r="J131" s="3">
        <f ca="1">IF(ISERROR(MATCH($A131,$G$116:I$116,0)),1,0)</f>
        <v>1</v>
      </c>
      <c r="K131" s="3">
        <f ca="1">IF(ISERROR(MATCH($A131,$G$116:J$116,0)),1,0)</f>
        <v>1</v>
      </c>
      <c r="L131" s="3">
        <f ca="1">IF(ISERROR(MATCH($A131,$G$116:K$116,0)),1,0)</f>
        <v>1</v>
      </c>
      <c r="M131" s="3">
        <f ca="1">IF(ISERROR(MATCH($A131,$G$116:L$116,0)),1,0)</f>
        <v>1</v>
      </c>
      <c r="N131" s="32">
        <f>SUM(H$119:H131)</f>
        <v>13</v>
      </c>
      <c r="O131" s="32">
        <f ca="1">SUM(I$119:I131)</f>
        <v>12</v>
      </c>
      <c r="P131" s="32">
        <f ca="1">SUM(J$119:J131)</f>
        <v>11</v>
      </c>
      <c r="Q131" s="32">
        <f ca="1">SUM(K$119:K131)</f>
        <v>10</v>
      </c>
      <c r="R131" s="32">
        <f ca="1">SUM(L$119:L131)</f>
        <v>9</v>
      </c>
      <c r="S131" s="32">
        <f ca="1">SUM(M$119:M131)</f>
        <v>9</v>
      </c>
      <c r="T131" s="47"/>
      <c r="X131">
        <f t="shared" si="79"/>
        <v>4</v>
      </c>
      <c r="Y131" t="str">
        <f t="shared" si="80"/>
        <v>Place of refuge</v>
      </c>
      <c r="Z131">
        <f t="shared" si="81"/>
        <v>4</v>
      </c>
      <c r="AA131" t="str">
        <f t="shared" si="82"/>
        <v>Place of refuge</v>
      </c>
      <c r="AB131">
        <f t="shared" si="85"/>
        <v>4</v>
      </c>
      <c r="AC131" t="str">
        <f t="shared" si="83"/>
        <v>Place of refuge</v>
      </c>
      <c r="AD131">
        <f t="shared" si="86"/>
        <v>4</v>
      </c>
      <c r="AE131" t="str">
        <f t="shared" si="84"/>
        <v>Place of refuge</v>
      </c>
    </row>
    <row r="132" spans="1:31" x14ac:dyDescent="0.3">
      <c r="A132" s="3">
        <f t="shared" si="78"/>
        <v>14</v>
      </c>
      <c r="B132" s="3"/>
      <c r="C132" s="3" t="str">
        <f>INDEX(lang!87:87,1,LNG)</f>
        <v>Treasure</v>
      </c>
      <c r="D132" s="3"/>
      <c r="E132" s="29"/>
      <c r="F132" s="3"/>
      <c r="G132" s="7"/>
      <c r="H132" s="3">
        <f>IF(ISERROR(MATCH($A132,$G$116:G$116,0)),1,0)</f>
        <v>1</v>
      </c>
      <c r="I132" s="3">
        <f ca="1">IF(ISERROR(MATCH($A132,$G$116:H$116,0)),1,0)</f>
        <v>1</v>
      </c>
      <c r="J132" s="3">
        <f ca="1">IF(ISERROR(MATCH($A132,$G$116:I$116,0)),1,0)</f>
        <v>1</v>
      </c>
      <c r="K132" s="3">
        <f ca="1">IF(ISERROR(MATCH($A132,$G$116:J$116,0)),1,0)</f>
        <v>1</v>
      </c>
      <c r="L132" s="3">
        <f ca="1">IF(ISERROR(MATCH($A132,$G$116:K$116,0)),1,0)</f>
        <v>1</v>
      </c>
      <c r="M132" s="3">
        <f ca="1">IF(ISERROR(MATCH($A132,$G$116:L$116,0)),1,0)</f>
        <v>0</v>
      </c>
      <c r="N132" s="32">
        <f>SUM(H$119:H132)</f>
        <v>14</v>
      </c>
      <c r="O132" s="32">
        <f ca="1">SUM(I$119:I132)</f>
        <v>13</v>
      </c>
      <c r="P132" s="32">
        <f ca="1">SUM(J$119:J132)</f>
        <v>12</v>
      </c>
      <c r="Q132" s="32">
        <f ca="1">SUM(K$119:K132)</f>
        <v>11</v>
      </c>
      <c r="R132" s="32">
        <f ca="1">SUM(L$119:L132)</f>
        <v>10</v>
      </c>
      <c r="S132" s="32">
        <f ca="1">SUM(M$119:M132)</f>
        <v>9</v>
      </c>
      <c r="T132" s="47"/>
      <c r="X132">
        <f t="shared" si="79"/>
        <v>5</v>
      </c>
      <c r="Y132" t="str">
        <f t="shared" si="80"/>
        <v>Advance</v>
      </c>
      <c r="Z132">
        <f t="shared" si="81"/>
        <v>5</v>
      </c>
      <c r="AA132" t="str">
        <f t="shared" si="82"/>
        <v>Advance</v>
      </c>
      <c r="AB132">
        <f t="shared" si="85"/>
        <v>5</v>
      </c>
      <c r="AC132" t="str">
        <f t="shared" si="83"/>
        <v>Advance</v>
      </c>
      <c r="AD132">
        <f t="shared" si="86"/>
        <v>5</v>
      </c>
      <c r="AE132" t="str">
        <f t="shared" si="84"/>
        <v>Advance</v>
      </c>
    </row>
    <row r="133" spans="1:31" x14ac:dyDescent="0.3">
      <c r="A133" s="3">
        <f t="shared" si="78"/>
        <v>15</v>
      </c>
      <c r="B133" s="3"/>
      <c r="C133" s="3" t="str">
        <f>INDEX(lang!87:87,1,LNG)</f>
        <v>Treasure</v>
      </c>
      <c r="D133" s="3"/>
      <c r="E133" s="29"/>
      <c r="F133" s="3"/>
      <c r="G133" s="7"/>
      <c r="H133" s="3">
        <f>IF(ISERROR(MATCH($A133,$G$116:G$116,0)),1,0)</f>
        <v>1</v>
      </c>
      <c r="I133" s="3">
        <f ca="1">IF(ISERROR(MATCH($A133,$G$116:H$116,0)),1,0)</f>
        <v>1</v>
      </c>
      <c r="J133" s="3">
        <f ca="1">IF(ISERROR(MATCH($A133,$G$116:I$116,0)),1,0)</f>
        <v>1</v>
      </c>
      <c r="K133" s="3">
        <f ca="1">IF(ISERROR(MATCH($A133,$G$116:J$116,0)),1,0)</f>
        <v>1</v>
      </c>
      <c r="L133" s="3">
        <f ca="1">IF(ISERROR(MATCH($A133,$G$116:K$116,0)),1,0)</f>
        <v>1</v>
      </c>
      <c r="M133" s="3">
        <f ca="1">IF(ISERROR(MATCH($A133,$G$116:L$116,0)),1,0)</f>
        <v>1</v>
      </c>
      <c r="N133" s="32">
        <f>SUM(H$119:H133)</f>
        <v>15</v>
      </c>
      <c r="O133" s="32">
        <f ca="1">SUM(I$119:I133)</f>
        <v>14</v>
      </c>
      <c r="P133" s="32">
        <f ca="1">SUM(J$119:J133)</f>
        <v>13</v>
      </c>
      <c r="Q133" s="32">
        <f ca="1">SUM(K$119:K133)</f>
        <v>12</v>
      </c>
      <c r="R133" s="32">
        <f ca="1">SUM(L$119:L133)</f>
        <v>11</v>
      </c>
      <c r="S133" s="32">
        <f ca="1">SUM(M$119:M133)</f>
        <v>10</v>
      </c>
      <c r="T133" s="47"/>
      <c r="X133">
        <f t="shared" si="79"/>
        <v>6</v>
      </c>
      <c r="Y133" t="str">
        <f t="shared" si="80"/>
        <v>Compass point</v>
      </c>
      <c r="Z133">
        <f t="shared" si="81"/>
        <v>6</v>
      </c>
      <c r="AA133" t="str">
        <f t="shared" si="82"/>
        <v>Compass point</v>
      </c>
      <c r="AB133">
        <f t="shared" si="85"/>
        <v>6</v>
      </c>
      <c r="AC133" t="str">
        <f t="shared" si="83"/>
        <v>Compass point</v>
      </c>
      <c r="AD133">
        <f t="shared" si="86"/>
        <v>6</v>
      </c>
      <c r="AE133" t="str">
        <f t="shared" si="84"/>
        <v>Compass point</v>
      </c>
    </row>
    <row r="134" spans="1:31" x14ac:dyDescent="0.3">
      <c r="X134">
        <v>1</v>
      </c>
      <c r="Y134" t="str">
        <f t="shared" ref="Y134:Y139" si="87">IFERROR(VLOOKUP(X134,$X$128:$Y$133,2,0),"")</f>
        <v>Home country</v>
      </c>
      <c r="Z134">
        <v>1</v>
      </c>
      <c r="AA134" t="str">
        <f t="shared" ref="AA134:AA139" si="88">IFERROR(VLOOKUP(Z134,$Z$128:$AA$133,2,0),"")</f>
        <v>Home country</v>
      </c>
      <c r="AB134">
        <v>1</v>
      </c>
      <c r="AC134" t="str">
        <f t="shared" ref="AC134:AC139" si="89">IFERROR(VLOOKUP(AB134,$AB$128:$AC$133,2,0),"")</f>
        <v>Home country</v>
      </c>
      <c r="AD134">
        <v>1</v>
      </c>
      <c r="AE134" t="str">
        <f t="shared" ref="AE134:AE139" si="90">IFERROR(VLOOKUP(AD134,$AD$128:$AE$133,2,0),"")</f>
        <v>Home country</v>
      </c>
    </row>
    <row r="135" spans="1:31" ht="21" x14ac:dyDescent="0.4">
      <c r="A135" s="201" t="s">
        <v>13</v>
      </c>
      <c r="B135" s="201"/>
      <c r="C135" s="201"/>
      <c r="D135" s="201"/>
      <c r="E135" s="201"/>
      <c r="F135" s="201"/>
      <c r="H135" t="s">
        <v>436</v>
      </c>
      <c r="X135">
        <v>2</v>
      </c>
      <c r="Y135" t="str">
        <f t="shared" si="87"/>
        <v>Fortress</v>
      </c>
      <c r="Z135">
        <v>2</v>
      </c>
      <c r="AA135" t="str">
        <f t="shared" si="88"/>
        <v>Fortress</v>
      </c>
      <c r="AB135">
        <v>2</v>
      </c>
      <c r="AC135" t="str">
        <f t="shared" si="89"/>
        <v>Fortress</v>
      </c>
      <c r="AD135">
        <v>2</v>
      </c>
      <c r="AE135" t="str">
        <f t="shared" si="90"/>
        <v>Fortress</v>
      </c>
    </row>
    <row r="136" spans="1:31" x14ac:dyDescent="0.3">
      <c r="A136" s="51" t="s">
        <v>188</v>
      </c>
      <c r="B136">
        <v>1</v>
      </c>
      <c r="C136">
        <v>2</v>
      </c>
      <c r="D136">
        <v>3</v>
      </c>
      <c r="E136">
        <v>4</v>
      </c>
      <c r="H136" t="b">
        <f>Options!F43=lngYES</f>
        <v>0</v>
      </c>
      <c r="X136">
        <v>3</v>
      </c>
      <c r="Y136" t="str">
        <f t="shared" si="87"/>
        <v>Road</v>
      </c>
      <c r="Z136">
        <v>3</v>
      </c>
      <c r="AA136" t="str">
        <f t="shared" si="88"/>
        <v>Road</v>
      </c>
      <c r="AB136">
        <v>3</v>
      </c>
      <c r="AC136" t="str">
        <f t="shared" si="89"/>
        <v>Road</v>
      </c>
      <c r="AD136">
        <v>3</v>
      </c>
      <c r="AE136" t="str">
        <f t="shared" si="90"/>
        <v>Road</v>
      </c>
    </row>
    <row r="137" spans="1:31" x14ac:dyDescent="0.3">
      <c r="A137" t="s">
        <v>189</v>
      </c>
      <c r="B137" s="29">
        <f>IF(Options!F46=lngYES,1,0)</f>
        <v>1</v>
      </c>
      <c r="X137">
        <v>4</v>
      </c>
      <c r="Y137" t="str">
        <f t="shared" si="87"/>
        <v>Place of refuge</v>
      </c>
      <c r="Z137">
        <v>4</v>
      </c>
      <c r="AA137" t="str">
        <f t="shared" si="88"/>
        <v>Place of refuge</v>
      </c>
      <c r="AB137">
        <v>4</v>
      </c>
      <c r="AC137" t="str">
        <f t="shared" si="89"/>
        <v>Place of refuge</v>
      </c>
      <c r="AD137">
        <v>4</v>
      </c>
      <c r="AE137" t="str">
        <f t="shared" si="90"/>
        <v>Place of refuge</v>
      </c>
    </row>
    <row r="138" spans="1:31" x14ac:dyDescent="0.3">
      <c r="A138" t="s">
        <v>190</v>
      </c>
      <c r="B138" s="29">
        <f>IF(Options!F47=lngYES,1,0)</f>
        <v>0</v>
      </c>
      <c r="X138">
        <v>5</v>
      </c>
      <c r="Y138" t="str">
        <f t="shared" si="87"/>
        <v>Advance</v>
      </c>
      <c r="Z138">
        <v>5</v>
      </c>
      <c r="AA138" t="str">
        <f t="shared" si="88"/>
        <v>Advance</v>
      </c>
      <c r="AB138">
        <v>5</v>
      </c>
      <c r="AC138" t="str">
        <f t="shared" si="89"/>
        <v>Advance</v>
      </c>
      <c r="AD138">
        <v>5</v>
      </c>
      <c r="AE138" t="str">
        <f t="shared" si="90"/>
        <v>Advance</v>
      </c>
    </row>
    <row r="139" spans="1:31" x14ac:dyDescent="0.3">
      <c r="A139" t="s">
        <v>191</v>
      </c>
      <c r="B139" s="50">
        <f>Options!F48/100</f>
        <v>0.1</v>
      </c>
      <c r="X139">
        <v>6</v>
      </c>
      <c r="Y139" t="str">
        <f t="shared" si="87"/>
        <v>Compass point</v>
      </c>
      <c r="Z139">
        <v>6</v>
      </c>
      <c r="AA139" t="str">
        <f t="shared" si="88"/>
        <v>Compass point</v>
      </c>
      <c r="AB139">
        <v>6</v>
      </c>
      <c r="AC139" t="str">
        <f t="shared" si="89"/>
        <v>Compass point</v>
      </c>
      <c r="AD139">
        <v>6</v>
      </c>
      <c r="AE139" t="str">
        <f t="shared" si="90"/>
        <v>Compass point</v>
      </c>
    </row>
    <row r="140" spans="1:31" x14ac:dyDescent="0.3">
      <c r="A140" t="s">
        <v>192</v>
      </c>
      <c r="B140" s="49">
        <f ca="1">RAND()</f>
        <v>0.33383105878779107</v>
      </c>
      <c r="C140" s="49">
        <f ca="1">RAND()</f>
        <v>4.4796170841858496E-2</v>
      </c>
      <c r="D140" s="49">
        <f ca="1">RAND()</f>
        <v>0.50132692011213631</v>
      </c>
      <c r="E140" s="49">
        <f ca="1">RAND()</f>
        <v>0.50996149189467621</v>
      </c>
    </row>
    <row r="141" spans="1:31" x14ac:dyDescent="0.3">
      <c r="A141" t="s">
        <v>197</v>
      </c>
      <c r="B141" s="52">
        <f ca="1">INDEX($H$12:$K$12,1,MATCH(B136,$H$41:$K$41,0))</f>
        <v>4</v>
      </c>
      <c r="C141" s="52">
        <f ca="1">INDEX($H$12:$K$12,1,MATCH(C136,$H$41:$K$41,0))</f>
        <v>2</v>
      </c>
      <c r="D141" s="52">
        <f ca="1">INDEX($H$12:$K$12,1,MATCH(D136,$H$41:$K$41,0))</f>
        <v>1</v>
      </c>
      <c r="E141" s="52">
        <f ca="1">INDEX($H$12:$K$12,1,MATCH(E136,$H$41:$K$41,0))</f>
        <v>5</v>
      </c>
    </row>
    <row r="142" spans="1:31" x14ac:dyDescent="0.3">
      <c r="A142" t="s">
        <v>194</v>
      </c>
      <c r="B142">
        <f ca="1">IF(OR(B141=7,B141=8),1,0)</f>
        <v>0</v>
      </c>
      <c r="C142">
        <f ca="1">IF(OR(C141=7,C141=8),1,0)</f>
        <v>0</v>
      </c>
      <c r="D142">
        <f ca="1">IF(OR(D141=7,D141=8),1,0)</f>
        <v>0</v>
      </c>
      <c r="E142">
        <f ca="1">IF(OR(E141=7,E141=8),1,0)</f>
        <v>0</v>
      </c>
      <c r="J142" t="s">
        <v>655</v>
      </c>
    </row>
    <row r="143" spans="1:31" x14ac:dyDescent="0.3">
      <c r="A143" t="s">
        <v>193</v>
      </c>
      <c r="B143">
        <f ca="1">IF(AND(OR($B$138=1,AND($B$137=1,B142=1)),B140&lt;$B$139),1,0)</f>
        <v>0</v>
      </c>
      <c r="C143">
        <f ca="1">IF(AND(OR($B$138=1,AND($B$137=1,C142=1)),C140&lt;$B$139),1,0)</f>
        <v>0</v>
      </c>
      <c r="D143">
        <f ca="1">IF(AND(OR($B$138=1,AND($B$137=1,D142=1)),D140&lt;$B$139),1,0)*IF(SUM($B143:C143)&gt;1,0,1)</f>
        <v>0</v>
      </c>
      <c r="E143">
        <f ca="1">IF(AND(OR($B$138=1,AND($B$137=1,E142=1)),E140&lt;$B$139),1,0)*IF(SUM($B143:D143)&gt;1,0,1)</f>
        <v>0</v>
      </c>
      <c r="J143" t="s">
        <v>656</v>
      </c>
    </row>
    <row r="144" spans="1:31" x14ac:dyDescent="0.3">
      <c r="J144" t="s">
        <v>657</v>
      </c>
    </row>
    <row r="145" spans="1:4" x14ac:dyDescent="0.3">
      <c r="A145" s="51" t="s">
        <v>195</v>
      </c>
    </row>
    <row r="146" spans="1:4" x14ac:dyDescent="0.3">
      <c r="A146" t="s">
        <v>193</v>
      </c>
      <c r="B146" s="29">
        <f>IF(Options!F51=lngYES,1,0)</f>
        <v>1</v>
      </c>
    </row>
    <row r="147" spans="1:4" x14ac:dyDescent="0.3">
      <c r="A147" t="s">
        <v>191</v>
      </c>
      <c r="B147" s="50">
        <f>Options!F52/100</f>
        <v>0.1</v>
      </c>
    </row>
    <row r="148" spans="1:4" x14ac:dyDescent="0.3">
      <c r="A148" t="s">
        <v>192</v>
      </c>
      <c r="B148" s="49">
        <f ca="1">RAND()</f>
        <v>0.39458541027428451</v>
      </c>
    </row>
    <row r="149" spans="1:4" x14ac:dyDescent="0.3">
      <c r="A149" t="s">
        <v>193</v>
      </c>
      <c r="B149">
        <f ca="1">IF(AND(B146=1,B148&lt;B147),1,0)</f>
        <v>0</v>
      </c>
    </row>
    <row r="151" spans="1:4" x14ac:dyDescent="0.3">
      <c r="A151" s="51" t="s">
        <v>196</v>
      </c>
      <c r="C151">
        <f ca="1">RANDBETWEEN(0,1)</f>
        <v>0</v>
      </c>
      <c r="D151" t="str">
        <f>INDEX(lang!201:201,1,LNG)</f>
        <v>Rope Bridge</v>
      </c>
    </row>
    <row r="152" spans="1:4" x14ac:dyDescent="0.3">
      <c r="A152" t="s">
        <v>193</v>
      </c>
      <c r="B152" s="29">
        <f>IF(Options!F55=lngYES,1,0)</f>
        <v>1</v>
      </c>
      <c r="D152" t="str">
        <f>INDEX(lang!202:202,1,LNG)</f>
        <v>Tree House</v>
      </c>
    </row>
    <row r="153" spans="1:4" x14ac:dyDescent="0.3">
      <c r="A153" t="s">
        <v>191</v>
      </c>
      <c r="B153" s="50">
        <f>Options!F56/100</f>
        <v>0.1</v>
      </c>
      <c r="D153" t="str">
        <f ca="1">IF(C151=1,D151,D152)</f>
        <v>Tree House</v>
      </c>
    </row>
    <row r="154" spans="1:4" x14ac:dyDescent="0.3">
      <c r="A154" t="s">
        <v>192</v>
      </c>
      <c r="B154" s="49">
        <f ca="1">RAND()</f>
        <v>0.51831926066417422</v>
      </c>
    </row>
    <row r="155" spans="1:4" x14ac:dyDescent="0.3">
      <c r="A155" t="s">
        <v>193</v>
      </c>
      <c r="B155">
        <f ca="1">IF(AND(B152=1,B154&lt;B153),1,0)</f>
        <v>0</v>
      </c>
    </row>
    <row r="306" spans="3:3" x14ac:dyDescent="0.3">
      <c r="C306" s="56"/>
    </row>
    <row r="307" spans="3:3" x14ac:dyDescent="0.3">
      <c r="C307" s="56"/>
    </row>
    <row r="308" spans="3:3" x14ac:dyDescent="0.3">
      <c r="C308" s="56"/>
    </row>
    <row r="309" spans="3:3" x14ac:dyDescent="0.3">
      <c r="C309" s="56"/>
    </row>
    <row r="310" spans="3:3" x14ac:dyDescent="0.3">
      <c r="C310" s="56"/>
    </row>
    <row r="311" spans="3:3" x14ac:dyDescent="0.3">
      <c r="C311" s="56"/>
    </row>
    <row r="312" spans="3:3" x14ac:dyDescent="0.3">
      <c r="C312" s="56"/>
    </row>
    <row r="313" spans="3:3" x14ac:dyDescent="0.3">
      <c r="C313" s="56"/>
    </row>
    <row r="314" spans="3:3" x14ac:dyDescent="0.3">
      <c r="C314" s="56"/>
    </row>
    <row r="315" spans="3:3" x14ac:dyDescent="0.3">
      <c r="C315" s="56"/>
    </row>
  </sheetData>
  <mergeCells count="28">
    <mergeCell ref="B106:E106"/>
    <mergeCell ref="F106:G106"/>
    <mergeCell ref="H106:K106"/>
    <mergeCell ref="A117:F117"/>
    <mergeCell ref="A135:F135"/>
    <mergeCell ref="G117:M118"/>
    <mergeCell ref="N117:S118"/>
    <mergeCell ref="C42:D42"/>
    <mergeCell ref="B1:E1"/>
    <mergeCell ref="A40:F41"/>
    <mergeCell ref="L40:O41"/>
    <mergeCell ref="L13:O14"/>
    <mergeCell ref="G13:K14"/>
    <mergeCell ref="A13:F13"/>
    <mergeCell ref="F1:G1"/>
    <mergeCell ref="H1:K1"/>
    <mergeCell ref="L58:O59"/>
    <mergeCell ref="B47:E47"/>
    <mergeCell ref="F47:G47"/>
    <mergeCell ref="H47:K47"/>
    <mergeCell ref="A58:F58"/>
    <mergeCell ref="G58:K59"/>
    <mergeCell ref="L97:O98"/>
    <mergeCell ref="B86:E86"/>
    <mergeCell ref="F86:G86"/>
    <mergeCell ref="H86:K86"/>
    <mergeCell ref="A97:F97"/>
    <mergeCell ref="G97:K98"/>
  </mergeCells>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64"/>
  <sheetViews>
    <sheetView tabSelected="1" zoomScaleNormal="100" workbookViewId="0">
      <selection activeCell="C3" sqref="C3"/>
    </sheetView>
  </sheetViews>
  <sheetFormatPr defaultRowHeight="14.4" x14ac:dyDescent="0.3"/>
  <cols>
    <col min="1" max="1" width="3.21875" customWidth="1"/>
    <col min="2" max="2" width="2.77734375" customWidth="1"/>
    <col min="3" max="3" width="60.77734375" style="149" customWidth="1"/>
    <col min="4" max="4" width="60.77734375" customWidth="1"/>
    <col min="5" max="5" width="2.77734375" customWidth="1"/>
    <col min="6" max="6" width="42.44140625" customWidth="1"/>
    <col min="7" max="7" width="2.77734375" customWidth="1"/>
    <col min="8" max="8" width="17.109375" customWidth="1"/>
    <col min="9" max="9" width="2.77734375" customWidth="1"/>
    <col min="10" max="10" width="3.109375" customWidth="1"/>
    <col min="11" max="12" width="153.6640625" customWidth="1"/>
  </cols>
  <sheetData>
    <row r="1" spans="1:12" ht="15" thickBot="1" x14ac:dyDescent="0.35">
      <c r="A1" s="64"/>
      <c r="B1" s="95"/>
      <c r="C1" s="147"/>
      <c r="D1" s="85"/>
      <c r="E1" s="85"/>
      <c r="F1" s="85"/>
      <c r="G1" s="85"/>
      <c r="H1" s="85"/>
      <c r="I1" s="119">
        <f>data!R1</f>
        <v>0</v>
      </c>
      <c r="J1" s="98">
        <v>0</v>
      </c>
      <c r="K1" s="64"/>
      <c r="L1" s="64"/>
    </row>
    <row r="2" spans="1:12" ht="15" thickTop="1" x14ac:dyDescent="0.3">
      <c r="A2" s="97"/>
      <c r="B2" s="82"/>
      <c r="C2" s="148"/>
      <c r="D2" s="33"/>
      <c r="E2" s="33"/>
      <c r="F2" s="33"/>
      <c r="G2" s="33"/>
      <c r="H2" s="33"/>
      <c r="I2" s="87" t="b">
        <v>1</v>
      </c>
      <c r="J2" s="109">
        <v>0</v>
      </c>
      <c r="K2" s="64"/>
      <c r="L2" s="64"/>
    </row>
    <row r="3" spans="1:12" ht="21" x14ac:dyDescent="0.3">
      <c r="A3" s="97"/>
      <c r="B3" s="82"/>
      <c r="C3" s="146" t="str">
        <f>INDEX(lang!175:175,1,LNG)</f>
        <v>About</v>
      </c>
      <c r="D3" s="33"/>
      <c r="E3" s="33"/>
      <c r="F3" s="33"/>
      <c r="G3" s="33"/>
      <c r="H3" s="33"/>
      <c r="I3" s="87"/>
      <c r="J3" s="109"/>
      <c r="K3" s="64"/>
      <c r="L3" s="64"/>
    </row>
    <row r="4" spans="1:12" ht="15.6" x14ac:dyDescent="0.3">
      <c r="A4" s="97"/>
      <c r="B4" s="82"/>
      <c r="C4" s="145"/>
      <c r="D4" s="33"/>
      <c r="E4" s="33"/>
      <c r="F4" s="33"/>
      <c r="G4" s="33"/>
      <c r="H4" s="33"/>
      <c r="I4" s="87">
        <v>0</v>
      </c>
      <c r="J4" s="109">
        <v>0</v>
      </c>
      <c r="K4" s="64"/>
      <c r="L4" s="64"/>
    </row>
    <row r="5" spans="1:12" ht="15.6" x14ac:dyDescent="0.3">
      <c r="A5" s="97"/>
      <c r="B5" s="82"/>
      <c r="C5" s="145" t="str">
        <f>INDEX(lang!176:176,1,LNG)</f>
        <v>Kingdom Builder randomizer v.0.1</v>
      </c>
      <c r="D5" s="33"/>
      <c r="E5" s="33"/>
      <c r="F5" s="33"/>
      <c r="G5" s="33"/>
      <c r="H5" s="33"/>
      <c r="I5" s="87"/>
      <c r="J5" s="109"/>
      <c r="K5" s="64"/>
      <c r="L5" s="64"/>
    </row>
    <row r="6" spans="1:12" x14ac:dyDescent="0.3">
      <c r="A6" s="97"/>
      <c r="B6" s="82"/>
      <c r="C6" s="150" t="str">
        <f>INDEX(lang!177:177,1,LNG)</f>
        <v>The original file posted on BoardGameGeek</v>
      </c>
      <c r="D6" s="33"/>
      <c r="E6" s="33"/>
      <c r="F6" s="33"/>
      <c r="G6" s="33"/>
      <c r="H6" s="33"/>
      <c r="I6" s="87"/>
      <c r="J6" s="109"/>
      <c r="K6" s="64"/>
      <c r="L6" s="64"/>
    </row>
    <row r="7" spans="1:12" ht="15.6" x14ac:dyDescent="0.3">
      <c r="A7" s="97"/>
      <c r="B7" s="82"/>
      <c r="C7" s="145"/>
      <c r="D7" s="33"/>
      <c r="E7" s="33"/>
      <c r="F7" s="33"/>
      <c r="G7" s="33"/>
      <c r="H7" s="33"/>
      <c r="I7" s="87"/>
      <c r="J7" s="109"/>
      <c r="K7" s="64"/>
      <c r="L7" s="64"/>
    </row>
    <row r="8" spans="1:12" ht="15.6" x14ac:dyDescent="0.3">
      <c r="A8" s="97"/>
      <c r="B8" s="82"/>
      <c r="C8" s="145" t="str">
        <f>INDEX(lang!178:854,1,LNG)</f>
        <v>Created by Artur Szpot</v>
      </c>
      <c r="D8" s="33"/>
      <c r="E8" s="33"/>
      <c r="F8" s="33"/>
      <c r="G8" s="33"/>
      <c r="H8" s="33"/>
      <c r="I8" s="87"/>
      <c r="J8" s="109"/>
      <c r="K8" s="64"/>
      <c r="L8" s="64"/>
    </row>
    <row r="9" spans="1:12" x14ac:dyDescent="0.3">
      <c r="A9" s="97"/>
      <c r="B9" s="82"/>
      <c r="C9" s="150" t="str">
        <f>INDEX(lang!179:179,1,LNG)</f>
        <v>The author's profile on BoardGameGeek</v>
      </c>
      <c r="D9" s="33"/>
      <c r="E9" s="33"/>
      <c r="F9" s="33"/>
      <c r="G9" s="33"/>
      <c r="H9" s="33"/>
      <c r="I9" s="87"/>
      <c r="J9" s="109"/>
      <c r="K9" s="64"/>
      <c r="L9" s="64"/>
    </row>
    <row r="10" spans="1:12" ht="15.6" x14ac:dyDescent="0.3">
      <c r="A10" s="97"/>
      <c r="B10" s="82"/>
      <c r="C10" s="145" t="s">
        <v>540</v>
      </c>
      <c r="D10" s="33"/>
      <c r="E10" s="33"/>
      <c r="F10" s="33"/>
      <c r="G10" s="33"/>
      <c r="H10" s="33"/>
      <c r="I10" s="87"/>
      <c r="J10" s="109"/>
      <c r="K10" s="64"/>
      <c r="L10" s="64"/>
    </row>
    <row r="11" spans="1:12" ht="15.6" x14ac:dyDescent="0.3">
      <c r="A11" s="97"/>
      <c r="B11" s="82"/>
      <c r="C11" s="145"/>
      <c r="D11" s="33"/>
      <c r="E11" s="33"/>
      <c r="F11" s="33"/>
      <c r="G11" s="33"/>
      <c r="H11" s="33"/>
      <c r="I11" s="87"/>
      <c r="J11" s="109"/>
      <c r="K11" s="64"/>
      <c r="L11" s="64"/>
    </row>
    <row r="12" spans="1:12" ht="21" x14ac:dyDescent="0.3">
      <c r="A12" s="97"/>
      <c r="B12" s="82"/>
      <c r="C12" s="146" t="str">
        <f>INDEX(lang!180:180,1,LNG)</f>
        <v>Legal note</v>
      </c>
      <c r="D12" s="33"/>
      <c r="E12" s="33"/>
      <c r="F12" s="33"/>
      <c r="G12" s="33"/>
      <c r="H12" s="33"/>
      <c r="I12" s="87"/>
      <c r="J12" s="109"/>
      <c r="K12" s="64"/>
      <c r="L12" s="64"/>
    </row>
    <row r="13" spans="1:12" ht="15.6" x14ac:dyDescent="0.3">
      <c r="A13" s="97"/>
      <c r="B13" s="82"/>
      <c r="C13" s="145"/>
      <c r="D13" s="33"/>
      <c r="E13" s="33"/>
      <c r="F13" s="33"/>
      <c r="G13" s="33"/>
      <c r="H13" s="33"/>
      <c r="I13" s="87"/>
      <c r="J13" s="109"/>
      <c r="K13" s="64"/>
      <c r="L13" s="64"/>
    </row>
    <row r="14" spans="1:12" ht="15.6" x14ac:dyDescent="0.3">
      <c r="A14" s="97"/>
      <c r="B14" s="82"/>
      <c r="C14" s="145" t="str">
        <f>INDEX(lang!181:181,1,LNG)</f>
        <v>This is a fan-made addition meant to facilitate randomizing game setups.</v>
      </c>
      <c r="D14" s="33"/>
      <c r="E14" s="33"/>
      <c r="F14" s="33"/>
      <c r="G14" s="33"/>
      <c r="H14" s="33"/>
      <c r="I14" s="87"/>
      <c r="J14" s="109"/>
      <c r="K14" s="64"/>
      <c r="L14" s="64"/>
    </row>
    <row r="15" spans="1:12" ht="15.6" x14ac:dyDescent="0.3">
      <c r="A15" s="97"/>
      <c r="B15" s="82"/>
      <c r="C15" s="145" t="str">
        <f>INDEX(lang!182:182,1,LNG)</f>
        <v>Kingdom Builder was created by Donald X. Vaccarino and published by Queen Games.</v>
      </c>
      <c r="D15" s="33"/>
      <c r="E15" s="33"/>
      <c r="F15" s="33"/>
      <c r="G15" s="33"/>
      <c r="H15" s="33"/>
      <c r="I15" s="87"/>
      <c r="J15" s="109"/>
      <c r="K15" s="64"/>
      <c r="L15" s="64"/>
    </row>
    <row r="16" spans="1:12" ht="15.6" x14ac:dyDescent="0.3">
      <c r="A16" s="97"/>
      <c r="B16" s="82"/>
      <c r="C16" s="145" t="str">
        <f>INDEX(lang!183:183,1,LNG)</f>
        <v>The author makes no claim to ownership of anything beyond the code used by this tool.</v>
      </c>
      <c r="D16" s="33"/>
      <c r="E16" s="33"/>
      <c r="F16" s="33"/>
      <c r="G16" s="33"/>
      <c r="H16" s="33"/>
      <c r="I16" s="87"/>
      <c r="J16" s="109"/>
      <c r="K16" s="64"/>
      <c r="L16" s="64"/>
    </row>
    <row r="17" spans="1:12" x14ac:dyDescent="0.3">
      <c r="A17" s="97"/>
      <c r="B17" s="82"/>
      <c r="C17" s="150" t="str">
        <f>INDEX(lang!184:184,1,LNG)</f>
        <v>Kingdom Builder page on BoardGameGeek</v>
      </c>
      <c r="D17" s="33"/>
      <c r="E17" s="33"/>
      <c r="F17" s="33"/>
      <c r="G17" s="33"/>
      <c r="H17" s="33"/>
      <c r="I17" s="87"/>
      <c r="J17" s="109"/>
      <c r="K17" s="64"/>
      <c r="L17" s="64"/>
    </row>
    <row r="18" spans="1:12" x14ac:dyDescent="0.3">
      <c r="A18" s="97"/>
      <c r="B18" s="82"/>
      <c r="C18" s="150" t="str">
        <f>INDEX(lang!185:185,1,LNG)</f>
        <v>Donald X. Vaccarino page on BoardGameGeek</v>
      </c>
      <c r="D18" s="33"/>
      <c r="E18" s="33"/>
      <c r="F18" s="33"/>
      <c r="G18" s="33"/>
      <c r="H18" s="33"/>
      <c r="I18" s="87"/>
      <c r="J18" s="109"/>
      <c r="K18" s="64"/>
      <c r="L18" s="64"/>
    </row>
    <row r="19" spans="1:12" x14ac:dyDescent="0.3">
      <c r="A19" s="97"/>
      <c r="B19" s="82"/>
      <c r="C19" s="150" t="str">
        <f>INDEX(lang!186:186,1,LNG)</f>
        <v>Queen Games official page</v>
      </c>
      <c r="D19" s="33"/>
      <c r="E19" s="33"/>
      <c r="F19" s="33"/>
      <c r="G19" s="33"/>
      <c r="H19" s="33"/>
      <c r="I19" s="87"/>
      <c r="J19" s="109"/>
      <c r="K19" s="64"/>
      <c r="L19" s="64"/>
    </row>
    <row r="20" spans="1:12" ht="15.6" x14ac:dyDescent="0.3">
      <c r="A20" s="97"/>
      <c r="B20" s="82"/>
      <c r="C20" s="145"/>
      <c r="D20" s="33"/>
      <c r="E20" s="33"/>
      <c r="F20" s="33"/>
      <c r="G20" s="33"/>
      <c r="H20" s="33"/>
      <c r="I20" s="87"/>
      <c r="J20" s="109"/>
      <c r="K20" s="64"/>
      <c r="L20" s="64"/>
    </row>
    <row r="21" spans="1:12" ht="15.6" customHeight="1" x14ac:dyDescent="0.3">
      <c r="A21" s="97"/>
      <c r="B21" s="82"/>
      <c r="C21" s="223" t="str">
        <f>INDEX(lang!187:187,1,LNG)</f>
        <v>I intended to protect the entire file against modifications, but there are two problems: it starts to lag a lot as it needs to unprotect itself for several operations, and I fear some people might find the 1920-pixel-appropriate display to be too wide for their screens (there is always the zoom option, but that then messes with text size). Since messing with the columns' width does no harm to the program beyond its aesthetics, I can allow that. That being said, I want to stress that the only guarantee of nothing being changed in this program is by downloading it from the official source (see link above).</v>
      </c>
      <c r="D21" s="223"/>
      <c r="E21" s="223"/>
      <c r="F21" s="223"/>
      <c r="G21" s="223"/>
      <c r="H21" s="223"/>
      <c r="I21" s="87"/>
      <c r="J21" s="109"/>
      <c r="K21" s="64"/>
      <c r="L21" s="64"/>
    </row>
    <row r="22" spans="1:12" ht="15.6" customHeight="1" x14ac:dyDescent="0.3">
      <c r="A22" s="97"/>
      <c r="B22" s="82"/>
      <c r="C22" s="223"/>
      <c r="D22" s="223"/>
      <c r="E22" s="223"/>
      <c r="F22" s="223"/>
      <c r="G22" s="223"/>
      <c r="H22" s="223"/>
      <c r="I22" s="87"/>
      <c r="J22" s="109"/>
      <c r="K22" s="64"/>
      <c r="L22" s="64"/>
    </row>
    <row r="23" spans="1:12" ht="15.6" customHeight="1" x14ac:dyDescent="0.3">
      <c r="A23" s="97"/>
      <c r="B23" s="82"/>
      <c r="C23" s="223"/>
      <c r="D23" s="223"/>
      <c r="E23" s="223"/>
      <c r="F23" s="223"/>
      <c r="G23" s="223"/>
      <c r="H23" s="223"/>
      <c r="I23" s="87"/>
      <c r="J23" s="109"/>
      <c r="K23" s="64"/>
      <c r="L23" s="64"/>
    </row>
    <row r="24" spans="1:12" ht="15.6" customHeight="1" x14ac:dyDescent="0.3">
      <c r="A24" s="97"/>
      <c r="B24" s="82"/>
      <c r="C24" s="223"/>
      <c r="D24" s="223"/>
      <c r="E24" s="223"/>
      <c r="F24" s="223"/>
      <c r="G24" s="223"/>
      <c r="H24" s="223"/>
      <c r="I24" s="87"/>
      <c r="J24" s="109"/>
      <c r="K24" s="64"/>
      <c r="L24" s="64"/>
    </row>
    <row r="25" spans="1:12" ht="15.6" customHeight="1" x14ac:dyDescent="0.3">
      <c r="A25" s="97"/>
      <c r="B25" s="82"/>
      <c r="C25" s="223"/>
      <c r="D25" s="223"/>
      <c r="E25" s="223"/>
      <c r="F25" s="223"/>
      <c r="G25" s="223"/>
      <c r="H25" s="223"/>
      <c r="I25" s="87"/>
      <c r="J25" s="109"/>
      <c r="K25" s="64"/>
      <c r="L25" s="64"/>
    </row>
    <row r="26" spans="1:12" ht="15.6" x14ac:dyDescent="0.3">
      <c r="A26" s="97"/>
      <c r="B26" s="82"/>
      <c r="C26" s="145"/>
      <c r="D26" s="33"/>
      <c r="E26" s="33"/>
      <c r="F26" s="33"/>
      <c r="G26" s="33"/>
      <c r="H26" s="33"/>
      <c r="I26" s="87"/>
      <c r="J26" s="109"/>
      <c r="K26" s="64"/>
      <c r="L26" s="64"/>
    </row>
    <row r="27" spans="1:12" ht="21" x14ac:dyDescent="0.3">
      <c r="A27" s="97"/>
      <c r="B27" s="82"/>
      <c r="C27" s="146" t="str">
        <f>INDEX(lang!188:188,1,LNG)</f>
        <v>Bug reports &amp; suggestions</v>
      </c>
      <c r="D27" s="33"/>
      <c r="E27" s="33"/>
      <c r="F27" s="33"/>
      <c r="G27" s="33"/>
      <c r="H27" s="33"/>
      <c r="I27" s="87"/>
      <c r="J27" s="109"/>
      <c r="K27" s="64"/>
      <c r="L27" s="64"/>
    </row>
    <row r="28" spans="1:12" ht="15.6" x14ac:dyDescent="0.3">
      <c r="A28" s="97"/>
      <c r="B28" s="82"/>
      <c r="C28" s="145"/>
      <c r="D28" s="33"/>
      <c r="E28" s="33"/>
      <c r="F28" s="33"/>
      <c r="G28" s="33"/>
      <c r="H28" s="33"/>
      <c r="I28" s="87"/>
      <c r="J28" s="109"/>
      <c r="K28" s="64"/>
      <c r="L28" s="64"/>
    </row>
    <row r="29" spans="1:12" ht="15.6" customHeight="1" x14ac:dyDescent="0.3">
      <c r="A29" s="97"/>
      <c r="B29" s="82"/>
      <c r="C29" s="224" t="str">
        <f>INDEX(lang!189:189,1,LNG)</f>
        <v>If you have any suggestions or would like to report any faulty behavior of the tool, I would be most glad to hear from you! Please contact me on BoardGameGeek (see link above).</v>
      </c>
      <c r="D29" s="224"/>
      <c r="E29" s="224"/>
      <c r="F29" s="224"/>
      <c r="G29" s="224"/>
      <c r="H29" s="224"/>
      <c r="I29" s="87"/>
      <c r="J29" s="109"/>
      <c r="K29" s="64"/>
      <c r="L29" s="64"/>
    </row>
    <row r="30" spans="1:12" ht="15.6" customHeight="1" x14ac:dyDescent="0.3">
      <c r="A30" s="97"/>
      <c r="B30" s="82"/>
      <c r="C30" s="224"/>
      <c r="D30" s="224"/>
      <c r="E30" s="224"/>
      <c r="F30" s="224"/>
      <c r="G30" s="224"/>
      <c r="H30" s="224"/>
      <c r="I30" s="87"/>
      <c r="J30" s="109"/>
      <c r="K30" s="64"/>
      <c r="L30" s="64"/>
    </row>
    <row r="31" spans="1:12" ht="15.6" x14ac:dyDescent="0.3">
      <c r="A31" s="97"/>
      <c r="B31" s="82"/>
      <c r="C31" s="145"/>
      <c r="D31" s="33"/>
      <c r="E31" s="33"/>
      <c r="F31" s="33"/>
      <c r="G31" s="33"/>
      <c r="H31" s="33"/>
      <c r="I31" s="87"/>
      <c r="J31" s="109"/>
      <c r="K31" s="64"/>
      <c r="L31" s="64"/>
    </row>
    <row r="32" spans="1:12" ht="21" x14ac:dyDescent="0.3">
      <c r="A32" s="97"/>
      <c r="B32" s="82"/>
      <c r="C32" s="146" t="str">
        <f>INDEX(lang!190:190,1,LNG)</f>
        <v>Saves</v>
      </c>
      <c r="D32" s="33"/>
      <c r="E32" s="33"/>
      <c r="F32" s="33"/>
      <c r="G32" s="33"/>
      <c r="H32" s="33"/>
      <c r="I32" s="87"/>
      <c r="J32" s="109"/>
      <c r="K32" s="64"/>
      <c r="L32" s="64"/>
    </row>
    <row r="33" spans="1:12" ht="15.6" x14ac:dyDescent="0.3">
      <c r="A33" s="97"/>
      <c r="B33" s="82"/>
      <c r="C33" s="145"/>
      <c r="D33" s="33"/>
      <c r="E33" s="33"/>
      <c r="F33" s="33"/>
      <c r="G33" s="33"/>
      <c r="H33" s="33"/>
      <c r="I33" s="87"/>
      <c r="J33" s="109"/>
      <c r="K33" s="64"/>
      <c r="L33" s="64"/>
    </row>
    <row r="34" spans="1:12" x14ac:dyDescent="0.3">
      <c r="A34" s="97"/>
      <c r="B34" s="82"/>
      <c r="C34" s="222" t="str">
        <f>INDEX(lang!191:191,1,LNG)</f>
        <v>All the saves this tool uses are stored within it, so there is no need to point to a place on your hard drive to store them. To the best of my knowledge, it is able to serve upwards of 16 000 saves, so no need to worry there :) The import/export feature allows you to store the saves outside of the file, for example to share them on the web.</v>
      </c>
      <c r="D34" s="222"/>
      <c r="E34" s="222"/>
      <c r="F34" s="222"/>
      <c r="G34" s="222"/>
      <c r="H34" s="222"/>
      <c r="I34" s="87"/>
      <c r="J34" s="109"/>
      <c r="K34" s="64"/>
      <c r="L34" s="64"/>
    </row>
    <row r="35" spans="1:12" x14ac:dyDescent="0.3">
      <c r="A35" s="97"/>
      <c r="B35" s="82"/>
      <c r="C35" s="222"/>
      <c r="D35" s="222"/>
      <c r="E35" s="222"/>
      <c r="F35" s="222"/>
      <c r="G35" s="222"/>
      <c r="H35" s="222"/>
      <c r="I35" s="87"/>
      <c r="J35" s="109"/>
      <c r="K35" s="64"/>
      <c r="L35" s="64"/>
    </row>
    <row r="36" spans="1:12" x14ac:dyDescent="0.3">
      <c r="A36" s="97"/>
      <c r="B36" s="82"/>
      <c r="C36" s="222"/>
      <c r="D36" s="222"/>
      <c r="E36" s="222"/>
      <c r="F36" s="222"/>
      <c r="G36" s="222"/>
      <c r="H36" s="222"/>
      <c r="I36" s="87"/>
      <c r="J36" s="109"/>
      <c r="K36" s="64"/>
      <c r="L36" s="64"/>
    </row>
    <row r="37" spans="1:12" ht="21" customHeight="1" x14ac:dyDescent="0.3">
      <c r="A37" s="97"/>
      <c r="B37" s="82"/>
      <c r="C37" s="146" t="str">
        <f>INDEX(lang!192:192,1,LNG)</f>
        <v>Language support</v>
      </c>
      <c r="D37" s="33"/>
      <c r="E37" s="33"/>
      <c r="F37" s="33"/>
      <c r="G37" s="33"/>
      <c r="H37" s="33"/>
      <c r="I37" s="87"/>
      <c r="J37" s="109"/>
      <c r="K37" s="64"/>
      <c r="L37" s="64"/>
    </row>
    <row r="38" spans="1:12" ht="15.6" x14ac:dyDescent="0.3">
      <c r="A38" s="97"/>
      <c r="B38" s="82"/>
      <c r="C38" s="145"/>
      <c r="D38" s="33"/>
      <c r="E38" s="33"/>
      <c r="F38" s="33"/>
      <c r="G38" s="33"/>
      <c r="H38" s="33"/>
      <c r="I38" s="87"/>
      <c r="J38" s="109"/>
      <c r="K38" s="64"/>
      <c r="L38" s="64"/>
    </row>
    <row r="39" spans="1:12" ht="14.4" customHeight="1" x14ac:dyDescent="0.3">
      <c r="A39" s="97"/>
      <c r="B39" s="82"/>
      <c r="C39" s="222" t="str">
        <f>INDEX(lang!193:193,1,LNG)</f>
        <v>Due to the author's limited abilities, the original release only supports two languages, possible to change in the Options tab. If you are interested in helping to increase that number, please contact me on BoardGameGeek (see link above). See also the file page on BoardGameGeek for a version of the file prepared to enable work on translations.</v>
      </c>
      <c r="D39" s="222"/>
      <c r="E39" s="222"/>
      <c r="F39" s="222"/>
      <c r="G39" s="222"/>
      <c r="H39" s="222"/>
      <c r="I39" s="87"/>
      <c r="J39" s="109"/>
      <c r="K39" s="64"/>
      <c r="L39" s="64"/>
    </row>
    <row r="40" spans="1:12" ht="14.4" customHeight="1" x14ac:dyDescent="0.3">
      <c r="A40" s="97"/>
      <c r="B40" s="82"/>
      <c r="C40" s="222"/>
      <c r="D40" s="222"/>
      <c r="E40" s="222"/>
      <c r="F40" s="222"/>
      <c r="G40" s="222"/>
      <c r="H40" s="222"/>
      <c r="I40" s="87"/>
      <c r="J40" s="109"/>
      <c r="K40" s="64"/>
      <c r="L40" s="64"/>
    </row>
    <row r="41" spans="1:12" ht="14.4" customHeight="1" x14ac:dyDescent="0.3">
      <c r="A41" s="97"/>
      <c r="B41" s="82"/>
      <c r="C41" s="222"/>
      <c r="D41" s="222"/>
      <c r="E41" s="222"/>
      <c r="F41" s="222"/>
      <c r="G41" s="222"/>
      <c r="H41" s="222"/>
      <c r="I41" s="87"/>
      <c r="J41" s="109"/>
      <c r="K41" s="64"/>
      <c r="L41" s="64"/>
    </row>
    <row r="42" spans="1:12" ht="21" customHeight="1" x14ac:dyDescent="0.3">
      <c r="A42" s="97"/>
      <c r="B42" s="82"/>
      <c r="C42" s="146" t="str">
        <f>INDEX(lang!194:194,1,LNG)</f>
        <v>Translator's notes</v>
      </c>
      <c r="D42" s="33"/>
      <c r="E42" s="33"/>
      <c r="F42" s="33"/>
      <c r="G42" s="33"/>
      <c r="H42" s="33"/>
      <c r="I42" s="87"/>
      <c r="J42" s="109"/>
      <c r="K42" s="64"/>
      <c r="L42" s="64"/>
    </row>
    <row r="43" spans="1:12" ht="14.4" customHeight="1" x14ac:dyDescent="0.3">
      <c r="A43" s="97"/>
      <c r="B43" s="82"/>
      <c r="C43" s="145"/>
      <c r="D43" s="33"/>
      <c r="E43" s="33"/>
      <c r="F43" s="33"/>
      <c r="G43" s="33"/>
      <c r="H43" s="33"/>
      <c r="I43" s="87"/>
      <c r="J43" s="109"/>
      <c r="K43" s="64"/>
      <c r="L43" s="64"/>
    </row>
    <row r="44" spans="1:12" ht="14.4" customHeight="1" x14ac:dyDescent="0.3">
      <c r="A44" s="97"/>
      <c r="B44" s="82"/>
      <c r="C44" s="222" t="str">
        <f>INDEX(lang!195:195,1,LNG)</f>
        <v>Author has nothing further to say. Left for future translators.</v>
      </c>
      <c r="D44" s="222"/>
      <c r="E44" s="222"/>
      <c r="F44" s="222"/>
      <c r="G44" s="222"/>
      <c r="H44" s="222"/>
      <c r="I44" s="87"/>
      <c r="J44" s="109"/>
      <c r="K44" s="64"/>
      <c r="L44" s="64"/>
    </row>
    <row r="45" spans="1:12" ht="14.4" customHeight="1" x14ac:dyDescent="0.3">
      <c r="A45" s="97"/>
      <c r="B45" s="82"/>
      <c r="C45" s="222"/>
      <c r="D45" s="222"/>
      <c r="E45" s="222"/>
      <c r="F45" s="222"/>
      <c r="G45" s="222"/>
      <c r="H45" s="222"/>
      <c r="I45" s="87"/>
      <c r="J45" s="109"/>
      <c r="K45" s="64"/>
      <c r="L45" s="64"/>
    </row>
    <row r="46" spans="1:12" ht="14.4" customHeight="1" x14ac:dyDescent="0.3">
      <c r="A46" s="97"/>
      <c r="B46" s="82"/>
      <c r="C46" s="222"/>
      <c r="D46" s="222"/>
      <c r="E46" s="222"/>
      <c r="F46" s="222"/>
      <c r="G46" s="222"/>
      <c r="H46" s="222"/>
      <c r="I46" s="87"/>
      <c r="J46" s="109"/>
      <c r="K46" s="64"/>
      <c r="L46" s="64"/>
    </row>
    <row r="47" spans="1:12" ht="14.4" customHeight="1" x14ac:dyDescent="0.3">
      <c r="A47" s="97"/>
      <c r="B47" s="82"/>
      <c r="C47" s="152"/>
      <c r="D47" s="152"/>
      <c r="E47" s="152"/>
      <c r="F47" s="152"/>
      <c r="G47" s="152"/>
      <c r="H47" s="152"/>
      <c r="I47" s="87"/>
      <c r="J47" s="109"/>
      <c r="K47" s="64"/>
      <c r="L47" s="64"/>
    </row>
    <row r="48" spans="1:12" ht="14.4" customHeight="1" x14ac:dyDescent="0.3">
      <c r="A48" s="97"/>
      <c r="B48" s="82"/>
      <c r="C48" s="146" t="str">
        <f>INDEX(lang!196:196,1,LNG)</f>
        <v>Tab names</v>
      </c>
      <c r="D48" s="33"/>
      <c r="E48" s="33"/>
      <c r="F48" s="33"/>
      <c r="G48" s="33"/>
      <c r="H48" s="33"/>
      <c r="I48" s="87"/>
      <c r="J48" s="109"/>
      <c r="K48" s="64"/>
      <c r="L48" s="64"/>
    </row>
    <row r="49" spans="1:12" ht="15.6" x14ac:dyDescent="0.3">
      <c r="A49" s="97"/>
      <c r="B49" s="82"/>
      <c r="C49" s="145"/>
      <c r="D49" s="33"/>
      <c r="E49" s="33"/>
      <c r="F49" s="33"/>
      <c r="G49" s="33"/>
      <c r="H49" s="33"/>
      <c r="I49" s="87"/>
      <c r="J49" s="109"/>
      <c r="K49" s="64"/>
      <c r="L49" s="64"/>
    </row>
    <row r="50" spans="1:12" ht="14.4" customHeight="1" x14ac:dyDescent="0.3">
      <c r="A50" s="97"/>
      <c r="B50" s="82"/>
      <c r="C50" s="222" t="str">
        <f>INDEX(lang!197:197,1,LNG)</f>
        <v>I'm sorry, but due to how the built-in VBA code works, it is impossible to change the name of the tabs to fit the language.</v>
      </c>
      <c r="D50" s="222"/>
      <c r="E50" s="222"/>
      <c r="F50" s="222"/>
      <c r="G50" s="222"/>
      <c r="H50" s="222"/>
      <c r="I50" s="87"/>
      <c r="J50" s="109"/>
      <c r="K50" s="64"/>
      <c r="L50" s="64"/>
    </row>
    <row r="51" spans="1:12" ht="14.4" customHeight="1" x14ac:dyDescent="0.3">
      <c r="A51" s="97"/>
      <c r="B51" s="82"/>
      <c r="C51" s="222"/>
      <c r="D51" s="222"/>
      <c r="E51" s="222"/>
      <c r="F51" s="222"/>
      <c r="G51" s="222"/>
      <c r="H51" s="222"/>
      <c r="I51" s="87"/>
      <c r="J51" s="109"/>
      <c r="K51" s="64"/>
      <c r="L51" s="64"/>
    </row>
    <row r="52" spans="1:12" ht="21" x14ac:dyDescent="0.3">
      <c r="A52" s="97"/>
      <c r="B52" s="82"/>
      <c r="C52" s="146" t="str">
        <f>INDEX(lang!198:198,1,LNG)</f>
        <v>Version history</v>
      </c>
      <c r="D52" s="33"/>
      <c r="E52" s="33"/>
      <c r="F52" s="33"/>
      <c r="G52" s="33"/>
      <c r="H52" s="33"/>
      <c r="I52" s="87"/>
      <c r="J52" s="109"/>
      <c r="K52" s="64"/>
      <c r="L52" s="64"/>
    </row>
    <row r="53" spans="1:12" ht="14.4" customHeight="1" x14ac:dyDescent="0.3">
      <c r="A53" s="97"/>
      <c r="B53" s="82"/>
      <c r="C53" s="152"/>
      <c r="D53" s="152"/>
      <c r="E53" s="152"/>
      <c r="F53" s="152"/>
      <c r="G53" s="152"/>
      <c r="H53" s="152"/>
      <c r="I53" s="87"/>
      <c r="J53" s="109"/>
      <c r="K53" s="64"/>
      <c r="L53" s="64"/>
    </row>
    <row r="54" spans="1:12" ht="14.4" customHeight="1" x14ac:dyDescent="0.3">
      <c r="A54" s="97"/>
      <c r="B54" s="82"/>
      <c r="C54" s="145" t="str">
        <f>INDEX(lang!199:199,1,LNG)</f>
        <v>v.0.1 - initial release</v>
      </c>
      <c r="D54" s="152"/>
      <c r="E54" s="152"/>
      <c r="F54" s="152"/>
      <c r="G54" s="152"/>
      <c r="H54" s="152"/>
      <c r="I54" s="87"/>
      <c r="J54" s="109"/>
      <c r="K54" s="64"/>
      <c r="L54" s="64"/>
    </row>
    <row r="55" spans="1:12" ht="15" thickBot="1" x14ac:dyDescent="0.35">
      <c r="A55" s="97"/>
      <c r="B55" s="83"/>
      <c r="C55" s="79"/>
      <c r="D55" s="79"/>
      <c r="E55" s="79"/>
      <c r="F55" s="79"/>
      <c r="G55" s="79"/>
      <c r="H55" s="79"/>
      <c r="I55" s="117">
        <v>0</v>
      </c>
      <c r="J55" s="109">
        <v>0</v>
      </c>
      <c r="K55" s="64"/>
      <c r="L55" s="64"/>
    </row>
    <row r="56" spans="1:12" ht="15" thickTop="1" x14ac:dyDescent="0.3">
      <c r="A56" s="100">
        <v>0</v>
      </c>
      <c r="B56" s="98">
        <v>0</v>
      </c>
      <c r="C56" s="98">
        <v>0</v>
      </c>
      <c r="D56" s="98"/>
      <c r="E56" s="98"/>
      <c r="F56" s="98"/>
      <c r="G56" s="98"/>
      <c r="H56" s="98"/>
      <c r="I56" s="98">
        <v>0</v>
      </c>
      <c r="J56" s="100">
        <v>0</v>
      </c>
      <c r="K56" s="64"/>
      <c r="L56" s="64"/>
    </row>
    <row r="57" spans="1:12" x14ac:dyDescent="0.3">
      <c r="A57" s="64"/>
      <c r="B57" s="64"/>
      <c r="C57" s="151"/>
      <c r="D57" s="64"/>
      <c r="E57" s="64"/>
      <c r="F57" s="64"/>
      <c r="G57" s="64"/>
      <c r="H57" s="64"/>
      <c r="I57" s="64"/>
      <c r="J57" s="64"/>
      <c r="K57" s="64"/>
      <c r="L57" s="64"/>
    </row>
    <row r="58" spans="1:12" x14ac:dyDescent="0.3">
      <c r="A58" s="64"/>
      <c r="B58" s="64"/>
      <c r="C58" s="151"/>
      <c r="D58" s="64"/>
      <c r="E58" s="64"/>
      <c r="F58" s="64"/>
      <c r="G58" s="64"/>
      <c r="H58" s="64"/>
      <c r="I58" s="64"/>
      <c r="J58" s="64"/>
      <c r="K58" s="64"/>
      <c r="L58" s="64"/>
    </row>
    <row r="59" spans="1:12" x14ac:dyDescent="0.3">
      <c r="A59" s="64"/>
      <c r="B59" s="64"/>
      <c r="C59" s="151"/>
      <c r="D59" s="64"/>
      <c r="E59" s="64"/>
      <c r="F59" s="64"/>
      <c r="G59" s="64"/>
      <c r="H59" s="64"/>
      <c r="I59" s="64"/>
      <c r="J59" s="64"/>
      <c r="K59" s="64"/>
      <c r="L59" s="64"/>
    </row>
    <row r="60" spans="1:12" x14ac:dyDescent="0.3">
      <c r="A60" s="64"/>
      <c r="B60" s="64"/>
      <c r="C60" s="151"/>
      <c r="D60" s="64"/>
      <c r="E60" s="64"/>
      <c r="F60" s="64"/>
      <c r="G60" s="64"/>
      <c r="H60" s="64"/>
      <c r="I60" s="64"/>
      <c r="J60" s="64"/>
      <c r="K60" s="64"/>
      <c r="L60" s="64"/>
    </row>
    <row r="61" spans="1:12" x14ac:dyDescent="0.3">
      <c r="A61" s="64"/>
      <c r="B61" s="64"/>
      <c r="C61" s="151"/>
      <c r="D61" s="64"/>
      <c r="E61" s="64"/>
      <c r="F61" s="64"/>
      <c r="G61" s="64"/>
      <c r="H61" s="64"/>
      <c r="I61" s="64"/>
      <c r="J61" s="64"/>
      <c r="K61" s="64"/>
      <c r="L61" s="64"/>
    </row>
    <row r="62" spans="1:12" x14ac:dyDescent="0.3">
      <c r="A62" s="64"/>
      <c r="B62" s="64"/>
      <c r="C62" s="151"/>
      <c r="D62" s="64"/>
      <c r="E62" s="64"/>
      <c r="F62" s="64"/>
      <c r="G62" s="64"/>
      <c r="H62" s="64"/>
      <c r="I62" s="64"/>
      <c r="J62" s="64"/>
      <c r="K62" s="64"/>
      <c r="L62" s="64"/>
    </row>
    <row r="63" spans="1:12" x14ac:dyDescent="0.3">
      <c r="A63" s="64"/>
      <c r="B63" s="64"/>
      <c r="C63" s="151"/>
      <c r="D63" s="64"/>
      <c r="E63" s="64"/>
      <c r="F63" s="64"/>
      <c r="G63" s="64"/>
      <c r="H63" s="64"/>
      <c r="I63" s="64"/>
      <c r="J63" s="64"/>
      <c r="K63" s="64"/>
      <c r="L63" s="64"/>
    </row>
    <row r="64" spans="1:12" x14ac:dyDescent="0.3">
      <c r="A64" s="64"/>
      <c r="B64" s="64"/>
      <c r="C64" s="151"/>
      <c r="D64" s="64"/>
      <c r="E64" s="64"/>
      <c r="F64" s="64"/>
      <c r="G64" s="64"/>
      <c r="H64" s="64"/>
      <c r="I64" s="64"/>
      <c r="J64" s="64"/>
      <c r="K64" s="64"/>
      <c r="L64" s="64"/>
    </row>
  </sheetData>
  <sheetProtection algorithmName="SHA-512" hashValue="PotvSD+xI25ICrw8VsLlHPpvo6oKYt2koBetKDQpo17yzWZDlByC7VesZHpz9VF1Eyg3Q+Di5x6QG9x7XfY5cQ==" saltValue="tDb5U/Sf0ilc1wauqIBAiA==" spinCount="100000" sheet="1" objects="1" scenarios="1"/>
  <mergeCells count="6">
    <mergeCell ref="C34:H36"/>
    <mergeCell ref="C50:H51"/>
    <mergeCell ref="C21:H25"/>
    <mergeCell ref="C39:H41"/>
    <mergeCell ref="C44:H46"/>
    <mergeCell ref="C29:H30"/>
  </mergeCells>
  <hyperlinks>
    <hyperlink ref="C17" r:id="rId1" display="https://boardgamegeek.com/boardgame/107529/kingdom-builder"/>
    <hyperlink ref="C18" r:id="rId2" display="https://boardgamegeek.com/boardgamedesigner/10525/donald-x-vaccarino"/>
    <hyperlink ref="C19" r:id="rId3" display="http://www.queen-games.com"/>
    <hyperlink ref="C9" r:id="rId4" display="https://boardgamegeek.com/user/Wuzetus"/>
    <hyperlink ref="C6" r:id="rId5" display="https://boardgamegeek.com/filepage/176521/kingdom-builder-randomizer"/>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8"/>
  <sheetViews>
    <sheetView workbookViewId="0">
      <selection activeCell="J77" sqref="J77"/>
    </sheetView>
  </sheetViews>
  <sheetFormatPr defaultRowHeight="14.4" x14ac:dyDescent="0.3"/>
  <cols>
    <col min="1" max="1" width="3.21875" customWidth="1"/>
    <col min="2" max="2" width="2.77734375" customWidth="1"/>
    <col min="3" max="4" width="60.77734375" customWidth="1"/>
    <col min="5" max="5" width="2.77734375" customWidth="1"/>
    <col min="6" max="6" width="42.44140625" customWidth="1"/>
    <col min="7" max="7" width="2.77734375" customWidth="1"/>
    <col min="8" max="8" width="17.109375" customWidth="1"/>
    <col min="9" max="9" width="2.77734375" customWidth="1"/>
    <col min="10" max="10" width="3.109375" customWidth="1"/>
    <col min="11" max="12" width="153.6640625" customWidth="1"/>
  </cols>
  <sheetData>
    <row r="1" spans="1:12" ht="15" thickBot="1" x14ac:dyDescent="0.35">
      <c r="A1" s="64"/>
      <c r="B1" s="95"/>
      <c r="C1" s="147"/>
      <c r="D1" s="85"/>
      <c r="E1" s="85"/>
      <c r="F1" s="85"/>
      <c r="G1" s="85"/>
      <c r="H1" s="85"/>
      <c r="I1" s="119">
        <f>data!R1</f>
        <v>0</v>
      </c>
      <c r="J1" s="98">
        <v>0</v>
      </c>
      <c r="K1" s="64"/>
      <c r="L1" s="64"/>
    </row>
    <row r="2" spans="1:12" ht="15" thickTop="1" x14ac:dyDescent="0.3">
      <c r="A2" s="97"/>
      <c r="B2" s="82"/>
      <c r="C2" s="148"/>
      <c r="D2" s="33"/>
      <c r="E2" s="33"/>
      <c r="F2" s="33"/>
      <c r="G2" s="33"/>
      <c r="H2" s="33"/>
      <c r="I2" s="87" t="b">
        <v>1</v>
      </c>
      <c r="J2" s="109">
        <v>0</v>
      </c>
      <c r="K2" s="64"/>
      <c r="L2" s="64"/>
    </row>
    <row r="3" spans="1:12" ht="21" x14ac:dyDescent="0.3">
      <c r="A3" s="97"/>
      <c r="B3" s="82"/>
      <c r="C3" s="146" t="str">
        <f>INDEX(lang!203:203,1,LNG)</f>
        <v>Instructions</v>
      </c>
      <c r="D3" s="33"/>
      <c r="E3" s="33"/>
      <c r="F3" s="33"/>
      <c r="G3" s="33"/>
      <c r="H3" s="33"/>
      <c r="I3" s="87"/>
      <c r="J3" s="109"/>
      <c r="K3" s="64"/>
      <c r="L3" s="64"/>
    </row>
    <row r="4" spans="1:12" ht="15.6" x14ac:dyDescent="0.3">
      <c r="A4" s="97"/>
      <c r="B4" s="82"/>
      <c r="C4" s="145"/>
      <c r="D4" s="33"/>
      <c r="E4" s="33"/>
      <c r="F4" s="33"/>
      <c r="G4" s="33"/>
      <c r="H4" s="33"/>
      <c r="I4" s="87">
        <v>0</v>
      </c>
      <c r="J4" s="109">
        <v>0</v>
      </c>
      <c r="K4" s="64"/>
      <c r="L4" s="64"/>
    </row>
    <row r="5" spans="1:12" ht="21" x14ac:dyDescent="0.3">
      <c r="A5" s="97"/>
      <c r="B5" s="82"/>
      <c r="C5" s="146" t="str">
        <f>INDEX(lang!98:98,1,LNG)</f>
        <v>Boards options</v>
      </c>
      <c r="D5" s="33"/>
      <c r="E5" s="33"/>
      <c r="F5" s="33"/>
      <c r="G5" s="33"/>
      <c r="H5" s="33"/>
      <c r="I5" s="87"/>
      <c r="J5" s="109"/>
      <c r="K5" s="64"/>
      <c r="L5" s="64"/>
    </row>
    <row r="6" spans="1:12" ht="15.6" x14ac:dyDescent="0.3">
      <c r="A6" s="97"/>
      <c r="B6" s="82"/>
      <c r="C6" s="145"/>
      <c r="D6" s="33"/>
      <c r="E6" s="33"/>
      <c r="F6" s="33"/>
      <c r="G6" s="33"/>
      <c r="H6" s="33"/>
      <c r="I6" s="87"/>
      <c r="J6" s="109"/>
      <c r="K6" s="64"/>
      <c r="L6" s="64"/>
    </row>
    <row r="7" spans="1:12" ht="15.6" customHeight="1" x14ac:dyDescent="0.3">
      <c r="A7" s="97"/>
      <c r="B7" s="82"/>
      <c r="C7" s="222" t="str">
        <f>INDEX(lang!204:204,1,LNG)</f>
        <v>Under board options, for each expansion, you can either choose an exact number of boards to be used from this expansion; or allow the program to add boards from this expansion to the pool from which it will then randomly select boards. To the right, there is also a possibility of choosing particular boards to be forced - these are then guaranteed to be used, with the rest provided according to the exact/random pool chosen.</v>
      </c>
      <c r="D7" s="222"/>
      <c r="E7" s="222"/>
      <c r="F7" s="222"/>
      <c r="G7" s="222"/>
      <c r="H7" s="222"/>
      <c r="I7" s="87"/>
      <c r="J7" s="109"/>
      <c r="K7" s="64"/>
      <c r="L7" s="64"/>
    </row>
    <row r="8" spans="1:12" ht="14.4" customHeight="1" x14ac:dyDescent="0.3">
      <c r="A8" s="97"/>
      <c r="B8" s="82"/>
      <c r="C8" s="222"/>
      <c r="D8" s="222"/>
      <c r="E8" s="222"/>
      <c r="F8" s="222"/>
      <c r="G8" s="222"/>
      <c r="H8" s="222"/>
      <c r="I8" s="87"/>
      <c r="J8" s="109"/>
      <c r="K8" s="64"/>
      <c r="L8" s="64"/>
    </row>
    <row r="9" spans="1:12" ht="14.4" customHeight="1" x14ac:dyDescent="0.3">
      <c r="A9" s="97"/>
      <c r="B9" s="82"/>
      <c r="C9" s="222"/>
      <c r="D9" s="222"/>
      <c r="E9" s="222"/>
      <c r="F9" s="222"/>
      <c r="G9" s="222"/>
      <c r="H9" s="222"/>
      <c r="I9" s="87"/>
      <c r="J9" s="109"/>
      <c r="K9" s="64"/>
      <c r="L9" s="64"/>
    </row>
    <row r="10" spans="1:12" ht="14.4" customHeight="1" x14ac:dyDescent="0.3">
      <c r="A10" s="97"/>
      <c r="B10" s="82"/>
      <c r="C10" s="222"/>
      <c r="D10" s="222"/>
      <c r="E10" s="222"/>
      <c r="F10" s="222"/>
      <c r="G10" s="222"/>
      <c r="H10" s="222"/>
      <c r="I10" s="87"/>
      <c r="J10" s="109"/>
      <c r="K10" s="64"/>
      <c r="L10" s="64"/>
    </row>
    <row r="11" spans="1:12" x14ac:dyDescent="0.3">
      <c r="A11" s="97"/>
      <c r="B11" s="82"/>
      <c r="C11" s="222"/>
      <c r="D11" s="222"/>
      <c r="E11" s="222"/>
      <c r="F11" s="222"/>
      <c r="G11" s="222"/>
      <c r="H11" s="222"/>
      <c r="I11" s="87"/>
      <c r="J11" s="109"/>
      <c r="K11" s="64"/>
      <c r="L11" s="64"/>
    </row>
    <row r="12" spans="1:12" ht="14.4" customHeight="1" x14ac:dyDescent="0.3">
      <c r="A12" s="97"/>
      <c r="B12" s="82"/>
      <c r="C12" s="222" t="str">
        <f>INDEX(lang!205:205,1,LNG)</f>
        <v>The "clear" button next to the exact numbers sets them all to zero.</v>
      </c>
      <c r="D12" s="222"/>
      <c r="E12" s="222"/>
      <c r="F12" s="222"/>
      <c r="G12" s="222"/>
      <c r="H12" s="222"/>
      <c r="I12" s="87"/>
      <c r="J12" s="109"/>
      <c r="K12" s="64"/>
      <c r="L12" s="64"/>
    </row>
    <row r="13" spans="1:12" ht="14.4" customHeight="1" x14ac:dyDescent="0.3">
      <c r="A13" s="97"/>
      <c r="B13" s="82"/>
      <c r="C13" s="222"/>
      <c r="D13" s="222"/>
      <c r="E13" s="222"/>
      <c r="F13" s="222"/>
      <c r="G13" s="222"/>
      <c r="H13" s="222"/>
      <c r="I13" s="87"/>
      <c r="J13" s="109"/>
      <c r="K13" s="64"/>
      <c r="L13" s="64"/>
    </row>
    <row r="14" spans="1:12" ht="14.4" customHeight="1" x14ac:dyDescent="0.3">
      <c r="A14" s="97"/>
      <c r="B14" s="82"/>
      <c r="C14" s="222" t="str">
        <f>INDEX(lang!206:206,1,LNG)</f>
        <v>If Nomads boards are being used, you have the option to allow the program to automatically randomize the Nomad locations on the map as well.</v>
      </c>
      <c r="D14" s="222"/>
      <c r="E14" s="222"/>
      <c r="F14" s="222"/>
      <c r="G14" s="222"/>
      <c r="H14" s="222"/>
      <c r="I14" s="87"/>
      <c r="J14" s="109"/>
      <c r="K14" s="64"/>
      <c r="L14" s="64"/>
    </row>
    <row r="15" spans="1:12" ht="14.4" customHeight="1" x14ac:dyDescent="0.3">
      <c r="A15" s="97"/>
      <c r="B15" s="82"/>
      <c r="C15" s="222"/>
      <c r="D15" s="222"/>
      <c r="E15" s="222"/>
      <c r="F15" s="222"/>
      <c r="G15" s="222"/>
      <c r="H15" s="222"/>
      <c r="I15" s="87"/>
      <c r="J15" s="109"/>
      <c r="K15" s="64"/>
      <c r="L15" s="64"/>
    </row>
    <row r="16" spans="1:12" ht="14.4" customHeight="1" x14ac:dyDescent="0.3">
      <c r="A16" s="97"/>
      <c r="B16" s="82"/>
      <c r="C16" s="222" t="str">
        <f>INDEX(lang!207:207,1,LNG)</f>
        <v>If in a "force" position set has been chosen, but not board, it will not affect the setup.</v>
      </c>
      <c r="D16" s="222"/>
      <c r="E16" s="222"/>
      <c r="F16" s="222"/>
      <c r="G16" s="222"/>
      <c r="H16" s="222"/>
      <c r="I16" s="87"/>
      <c r="J16" s="109"/>
      <c r="K16" s="64"/>
      <c r="L16" s="64"/>
    </row>
    <row r="17" spans="1:12" x14ac:dyDescent="0.3">
      <c r="A17" s="97"/>
      <c r="B17" s="82"/>
      <c r="C17" s="222"/>
      <c r="D17" s="222"/>
      <c r="E17" s="222"/>
      <c r="F17" s="222"/>
      <c r="G17" s="222"/>
      <c r="H17" s="222"/>
      <c r="I17" s="87"/>
      <c r="J17" s="109"/>
      <c r="K17" s="64"/>
      <c r="L17" s="64"/>
    </row>
    <row r="18" spans="1:12" x14ac:dyDescent="0.3">
      <c r="A18" s="97"/>
      <c r="B18" s="82"/>
      <c r="C18" s="33"/>
      <c r="D18" s="33"/>
      <c r="E18" s="33"/>
      <c r="F18" s="33"/>
      <c r="G18" s="33"/>
      <c r="H18" s="33"/>
      <c r="I18" s="87"/>
      <c r="J18" s="109"/>
      <c r="K18" s="64"/>
      <c r="L18" s="64"/>
    </row>
    <row r="19" spans="1:12" ht="21" x14ac:dyDescent="0.3">
      <c r="A19" s="97"/>
      <c r="B19" s="82"/>
      <c r="C19" s="146" t="str">
        <f>INDEX(lang!99:99,1,LNG)</f>
        <v>Kingdom Builder cards options</v>
      </c>
      <c r="D19" s="33"/>
      <c r="E19" s="33"/>
      <c r="F19" s="33"/>
      <c r="G19" s="33"/>
      <c r="H19" s="33"/>
      <c r="I19" s="87"/>
      <c r="J19" s="109"/>
      <c r="K19" s="64"/>
      <c r="L19" s="64"/>
    </row>
    <row r="20" spans="1:12" x14ac:dyDescent="0.3">
      <c r="A20" s="97"/>
      <c r="B20" s="82"/>
      <c r="C20" s="33"/>
      <c r="D20" s="33"/>
      <c r="E20" s="33"/>
      <c r="F20" s="33"/>
      <c r="G20" s="33"/>
      <c r="H20" s="33"/>
      <c r="I20" s="87"/>
      <c r="J20" s="109"/>
      <c r="K20" s="64"/>
      <c r="L20" s="64"/>
    </row>
    <row r="21" spans="1:12" x14ac:dyDescent="0.3">
      <c r="A21" s="97"/>
      <c r="B21" s="82"/>
      <c r="C21" s="222" t="str">
        <f>INDEX(lang!208:208,1,LNG)</f>
        <v>If you leave the default setting on, the program will randomly choose Kingdom Builder cards from the base game and those expansions which are represented by boards chosen to be used.</v>
      </c>
      <c r="D21" s="222"/>
      <c r="E21" s="222"/>
      <c r="F21" s="222"/>
      <c r="G21" s="222"/>
      <c r="H21" s="222"/>
      <c r="I21" s="87"/>
      <c r="J21" s="109"/>
      <c r="K21" s="64"/>
      <c r="L21" s="64"/>
    </row>
    <row r="22" spans="1:12" x14ac:dyDescent="0.3">
      <c r="A22" s="97"/>
      <c r="B22" s="82"/>
      <c r="C22" s="222"/>
      <c r="D22" s="222"/>
      <c r="E22" s="222"/>
      <c r="F22" s="222"/>
      <c r="G22" s="222"/>
      <c r="H22" s="222"/>
      <c r="I22" s="87"/>
      <c r="J22" s="109"/>
      <c r="K22" s="64"/>
      <c r="L22" s="64"/>
    </row>
    <row r="23" spans="1:12" x14ac:dyDescent="0.3">
      <c r="A23" s="97"/>
      <c r="B23" s="82"/>
      <c r="C23" s="222" t="str">
        <f>INDEX(lang!209:209,1,LNG)</f>
        <v>If you turn it off, you have the ability to control how the cards will be chosen in exactly the same way as with the boards.</v>
      </c>
      <c r="D23" s="222"/>
      <c r="E23" s="222"/>
      <c r="F23" s="222"/>
      <c r="G23" s="222"/>
      <c r="H23" s="222"/>
      <c r="I23" s="87"/>
      <c r="J23" s="109"/>
      <c r="K23" s="64"/>
      <c r="L23" s="64"/>
    </row>
    <row r="24" spans="1:12" x14ac:dyDescent="0.3">
      <c r="A24" s="97"/>
      <c r="B24" s="82"/>
      <c r="C24" s="222"/>
      <c r="D24" s="222"/>
      <c r="E24" s="222"/>
      <c r="F24" s="222"/>
      <c r="G24" s="222"/>
      <c r="H24" s="222"/>
      <c r="I24" s="87"/>
      <c r="J24" s="109"/>
      <c r="K24" s="64"/>
      <c r="L24" s="64"/>
    </row>
    <row r="25" spans="1:12" x14ac:dyDescent="0.3">
      <c r="A25" s="97"/>
      <c r="B25" s="82"/>
      <c r="C25" s="222" t="str">
        <f>INDEX(lang!210:210,1,LNG)</f>
        <v>Turning the default setting back on will remember the more detailed settings, but disregard them until it is turned off again.</v>
      </c>
      <c r="D25" s="222"/>
      <c r="E25" s="222"/>
      <c r="F25" s="222"/>
      <c r="G25" s="222"/>
      <c r="H25" s="222"/>
      <c r="I25" s="87"/>
      <c r="J25" s="109"/>
      <c r="K25" s="64"/>
      <c r="L25" s="64"/>
    </row>
    <row r="26" spans="1:12" x14ac:dyDescent="0.3">
      <c r="A26" s="97"/>
      <c r="B26" s="82"/>
      <c r="C26" s="222"/>
      <c r="D26" s="222"/>
      <c r="E26" s="222"/>
      <c r="F26" s="222"/>
      <c r="G26" s="222"/>
      <c r="H26" s="222"/>
      <c r="I26" s="87"/>
      <c r="J26" s="109"/>
      <c r="K26" s="64"/>
      <c r="L26" s="64"/>
    </row>
    <row r="27" spans="1:12" x14ac:dyDescent="0.3">
      <c r="A27" s="97"/>
      <c r="B27" s="82"/>
      <c r="C27" s="33"/>
      <c r="D27" s="33"/>
      <c r="E27" s="33"/>
      <c r="F27" s="33"/>
      <c r="G27" s="33"/>
      <c r="H27" s="33"/>
      <c r="I27" s="87"/>
      <c r="J27" s="109"/>
      <c r="K27" s="64"/>
      <c r="L27" s="64"/>
    </row>
    <row r="28" spans="1:12" ht="21" x14ac:dyDescent="0.3">
      <c r="A28" s="97"/>
      <c r="B28" s="82"/>
      <c r="C28" s="146" t="str">
        <f>INDEX(lang!100:100,1,LNG)</f>
        <v>Task cards options</v>
      </c>
      <c r="D28" s="33"/>
      <c r="E28" s="33"/>
      <c r="F28" s="33"/>
      <c r="G28" s="33"/>
      <c r="H28" s="33"/>
      <c r="I28" s="87"/>
      <c r="J28" s="109"/>
      <c r="K28" s="64"/>
      <c r="L28" s="64"/>
    </row>
    <row r="29" spans="1:12" x14ac:dyDescent="0.3">
      <c r="A29" s="97"/>
      <c r="B29" s="82"/>
      <c r="C29" s="33"/>
      <c r="D29" s="33"/>
      <c r="E29" s="33"/>
      <c r="F29" s="33"/>
      <c r="G29" s="33"/>
      <c r="H29" s="33"/>
      <c r="I29" s="87"/>
      <c r="J29" s="109"/>
      <c r="K29" s="64"/>
      <c r="L29" s="64"/>
    </row>
    <row r="30" spans="1:12" x14ac:dyDescent="0.3">
      <c r="A30" s="97"/>
      <c r="B30" s="82"/>
      <c r="C30" s="222" t="str">
        <f>INDEX(lang!211:211,1,LNG)</f>
        <v>If you leave the default setting on, the program will randomly choose as many Task cards as there are boards in the setup from Crossroads expansion.</v>
      </c>
      <c r="D30" s="222"/>
      <c r="E30" s="222"/>
      <c r="F30" s="222"/>
      <c r="G30" s="222"/>
      <c r="H30" s="222"/>
      <c r="I30" s="87"/>
      <c r="J30" s="109"/>
      <c r="K30" s="64"/>
      <c r="L30" s="64"/>
    </row>
    <row r="31" spans="1:12" x14ac:dyDescent="0.3">
      <c r="A31" s="97"/>
      <c r="B31" s="82"/>
      <c r="C31" s="222"/>
      <c r="D31" s="222"/>
      <c r="E31" s="222"/>
      <c r="F31" s="222"/>
      <c r="G31" s="222"/>
      <c r="H31" s="222"/>
      <c r="I31" s="87"/>
      <c r="J31" s="109"/>
      <c r="K31" s="64"/>
      <c r="L31" s="64"/>
    </row>
    <row r="32" spans="1:12" ht="14.4" customHeight="1" x14ac:dyDescent="0.3">
      <c r="A32" s="97"/>
      <c r="B32" s="82"/>
      <c r="C32" s="222" t="str">
        <f>INDEX(lang!212:212,1,LNG)</f>
        <v>If you turn it off, you have the ability to control how many cards will be chosen and/or the exact cards to be used. If an exact number is chosen to be used, the forced cards will be among that number (and may potentially exceed it).</v>
      </c>
      <c r="D32" s="222"/>
      <c r="E32" s="222"/>
      <c r="F32" s="222"/>
      <c r="G32" s="222"/>
      <c r="H32" s="222"/>
      <c r="I32" s="87"/>
      <c r="J32" s="109"/>
      <c r="K32" s="64"/>
      <c r="L32" s="64"/>
    </row>
    <row r="33" spans="1:12" ht="14.4" customHeight="1" x14ac:dyDescent="0.3">
      <c r="A33" s="97"/>
      <c r="B33" s="82"/>
      <c r="C33" s="222"/>
      <c r="D33" s="222"/>
      <c r="E33" s="222"/>
      <c r="F33" s="222"/>
      <c r="G33" s="222"/>
      <c r="H33" s="222"/>
      <c r="I33" s="87"/>
      <c r="J33" s="109"/>
      <c r="K33" s="64"/>
      <c r="L33" s="64"/>
    </row>
    <row r="34" spans="1:12" x14ac:dyDescent="0.3">
      <c r="A34" s="97"/>
      <c r="B34" s="82"/>
      <c r="C34" s="222"/>
      <c r="D34" s="222"/>
      <c r="E34" s="222"/>
      <c r="F34" s="222"/>
      <c r="G34" s="222"/>
      <c r="H34" s="222"/>
      <c r="I34" s="87"/>
      <c r="J34" s="109"/>
      <c r="K34" s="64"/>
      <c r="L34" s="64"/>
    </row>
    <row r="35" spans="1:12" x14ac:dyDescent="0.3">
      <c r="A35" s="97"/>
      <c r="B35" s="82"/>
      <c r="C35" s="222" t="str">
        <f>INDEX(lang!210:210,1,LNG)</f>
        <v>Turning the default setting back on will remember the more detailed settings, but disregard them until it is turned off again.</v>
      </c>
      <c r="D35" s="222"/>
      <c r="E35" s="222"/>
      <c r="F35" s="222"/>
      <c r="G35" s="222"/>
      <c r="H35" s="222"/>
      <c r="I35" s="87"/>
      <c r="J35" s="109"/>
      <c r="K35" s="64"/>
      <c r="L35" s="64"/>
    </row>
    <row r="36" spans="1:12" x14ac:dyDescent="0.3">
      <c r="A36" s="97"/>
      <c r="B36" s="82"/>
      <c r="C36" s="222"/>
      <c r="D36" s="222"/>
      <c r="E36" s="222"/>
      <c r="F36" s="222"/>
      <c r="G36" s="222"/>
      <c r="H36" s="222"/>
      <c r="I36" s="87"/>
      <c r="J36" s="109"/>
      <c r="K36" s="64"/>
      <c r="L36" s="64"/>
    </row>
    <row r="37" spans="1:12" x14ac:dyDescent="0.3">
      <c r="A37" s="97"/>
      <c r="B37" s="82"/>
      <c r="C37" s="33"/>
      <c r="D37" s="33"/>
      <c r="E37" s="33"/>
      <c r="F37" s="33"/>
      <c r="G37" s="33"/>
      <c r="H37" s="33"/>
      <c r="I37" s="87"/>
      <c r="J37" s="109"/>
      <c r="K37" s="64"/>
      <c r="L37" s="64"/>
    </row>
    <row r="38" spans="1:12" ht="21" x14ac:dyDescent="0.3">
      <c r="A38" s="97"/>
      <c r="B38" s="82"/>
      <c r="C38" s="146" t="str">
        <f>INDEX(lang!101:101,1,LNG)</f>
        <v>Queenies options</v>
      </c>
      <c r="D38" s="33"/>
      <c r="E38" s="33"/>
      <c r="F38" s="33"/>
      <c r="G38" s="33"/>
      <c r="H38" s="33"/>
      <c r="I38" s="87"/>
      <c r="J38" s="109"/>
      <c r="K38" s="64"/>
      <c r="L38" s="64"/>
    </row>
    <row r="39" spans="1:12" x14ac:dyDescent="0.3">
      <c r="A39" s="97"/>
      <c r="B39" s="82"/>
      <c r="C39" s="33"/>
      <c r="D39" s="33"/>
      <c r="E39" s="33"/>
      <c r="F39" s="33"/>
      <c r="G39" s="33"/>
      <c r="H39" s="33"/>
      <c r="I39" s="87"/>
      <c r="J39" s="109"/>
      <c r="K39" s="64"/>
      <c r="L39" s="64"/>
    </row>
    <row r="40" spans="1:12" ht="14.4" customHeight="1" x14ac:dyDescent="0.3">
      <c r="A40" s="97"/>
      <c r="B40" s="82"/>
      <c r="C40" s="222" t="str">
        <f>INDEX(lang!213:213,1,LNG)</f>
        <v>You can choose to turn Queenies completely off. If you do choose to use them, there are options to turn each of them on or off and set the probability of it being used (hint: 100% to force). Capitols were designed to be used for Oracle and Harbour boards only in original, but this can also be overridden with one of the settings.</v>
      </c>
      <c r="D40" s="222"/>
      <c r="E40" s="222"/>
      <c r="F40" s="222"/>
      <c r="G40" s="222"/>
      <c r="H40" s="222"/>
      <c r="I40" s="87"/>
      <c r="J40" s="109"/>
      <c r="K40" s="64"/>
      <c r="L40" s="64"/>
    </row>
    <row r="41" spans="1:12" ht="14.4" customHeight="1" x14ac:dyDescent="0.3">
      <c r="A41" s="97"/>
      <c r="B41" s="82"/>
      <c r="C41" s="222"/>
      <c r="D41" s="222"/>
      <c r="E41" s="222"/>
      <c r="F41" s="222"/>
      <c r="G41" s="222"/>
      <c r="H41" s="222"/>
      <c r="I41" s="87"/>
      <c r="J41" s="109"/>
      <c r="K41" s="64"/>
      <c r="L41" s="64"/>
    </row>
    <row r="42" spans="1:12" x14ac:dyDescent="0.3">
      <c r="A42" s="97"/>
      <c r="B42" s="82"/>
      <c r="C42" s="222"/>
      <c r="D42" s="222"/>
      <c r="E42" s="222"/>
      <c r="F42" s="222"/>
      <c r="G42" s="222"/>
      <c r="H42" s="222"/>
      <c r="I42" s="87"/>
      <c r="J42" s="109"/>
      <c r="K42" s="64"/>
      <c r="L42" s="64"/>
    </row>
    <row r="43" spans="1:12" x14ac:dyDescent="0.3">
      <c r="A43" s="97"/>
      <c r="B43" s="82"/>
      <c r="C43" s="33"/>
      <c r="D43" s="33"/>
      <c r="E43" s="33"/>
      <c r="F43" s="33"/>
      <c r="G43" s="33"/>
      <c r="H43" s="33"/>
      <c r="I43" s="87"/>
      <c r="J43" s="109"/>
      <c r="K43" s="64"/>
      <c r="L43" s="64"/>
    </row>
    <row r="44" spans="1:12" ht="21" x14ac:dyDescent="0.3">
      <c r="A44" s="97"/>
      <c r="B44" s="82"/>
      <c r="C44" s="146" t="str">
        <f>INDEX(lang!214:214,1,LNG)</f>
        <v>Presets</v>
      </c>
      <c r="D44" s="33"/>
      <c r="E44" s="33"/>
      <c r="F44" s="33"/>
      <c r="G44" s="33"/>
      <c r="H44" s="33"/>
      <c r="I44" s="87"/>
      <c r="J44" s="109"/>
      <c r="K44" s="64"/>
      <c r="L44" s="64"/>
    </row>
    <row r="45" spans="1:12" x14ac:dyDescent="0.3">
      <c r="A45" s="97"/>
      <c r="B45" s="82"/>
      <c r="C45" s="33"/>
      <c r="D45" s="33"/>
      <c r="E45" s="33"/>
      <c r="F45" s="33"/>
      <c r="G45" s="33"/>
      <c r="H45" s="33"/>
      <c r="I45" s="87"/>
      <c r="J45" s="109"/>
      <c r="K45" s="64"/>
      <c r="L45" s="64"/>
    </row>
    <row r="46" spans="1:12" ht="14.4" customHeight="1" x14ac:dyDescent="0.3">
      <c r="A46" s="97"/>
      <c r="B46" s="82"/>
      <c r="C46" s="223" t="str">
        <f>INDEX(lang!215:215,1,LNG)</f>
        <v>To save a preset, enter its name in the appropriate gray box and press "save", then follow prompts if any appear (they won't unless there's a problem).</v>
      </c>
      <c r="D46" s="223"/>
      <c r="E46" s="223"/>
      <c r="F46" s="223"/>
      <c r="G46" s="223"/>
      <c r="H46" s="223"/>
      <c r="I46" s="87"/>
      <c r="J46" s="109"/>
      <c r="K46" s="64"/>
      <c r="L46" s="64"/>
    </row>
    <row r="47" spans="1:12" ht="14.4" customHeight="1" x14ac:dyDescent="0.3">
      <c r="A47" s="97"/>
      <c r="B47" s="82"/>
      <c r="C47" s="223"/>
      <c r="D47" s="223"/>
      <c r="E47" s="223"/>
      <c r="F47" s="223"/>
      <c r="G47" s="223"/>
      <c r="H47" s="223"/>
      <c r="I47" s="87"/>
      <c r="J47" s="109"/>
      <c r="K47" s="64"/>
      <c r="L47" s="64"/>
    </row>
    <row r="48" spans="1:12" ht="14.4" customHeight="1" x14ac:dyDescent="0.3">
      <c r="A48" s="97"/>
      <c r="B48" s="82"/>
      <c r="C48" s="222" t="str">
        <f>INDEX(lang!216:216,1,LNG)</f>
        <v>To load a preset, choose one from the dropdown list and press "load".</v>
      </c>
      <c r="D48" s="222"/>
      <c r="E48" s="222"/>
      <c r="F48" s="222"/>
      <c r="G48" s="222"/>
      <c r="H48" s="222"/>
      <c r="I48" s="87"/>
      <c r="J48" s="109"/>
      <c r="K48" s="64"/>
      <c r="L48" s="64"/>
    </row>
    <row r="49" spans="1:12" ht="14.4" customHeight="1" x14ac:dyDescent="0.3">
      <c r="A49" s="97"/>
      <c r="B49" s="82"/>
      <c r="C49" s="222" t="str">
        <f>INDEX(lang!217:217,1,LNG)</f>
        <v>To delete a preset, choose one from the dropdown list and press "delete".</v>
      </c>
      <c r="D49" s="222"/>
      <c r="E49" s="222"/>
      <c r="F49" s="222"/>
      <c r="G49" s="222"/>
      <c r="H49" s="222"/>
      <c r="I49" s="87"/>
      <c r="J49" s="109"/>
      <c r="K49" s="64"/>
      <c r="L49" s="64"/>
    </row>
    <row r="50" spans="1:12" ht="15.6" x14ac:dyDescent="0.3">
      <c r="A50" s="97"/>
      <c r="B50" s="82"/>
      <c r="C50" s="222" t="str">
        <f>INDEX(lang!218:218,1,LNG)</f>
        <v>To import a preset, paste (or type, if you're hardcore) it into the appropriate gray box and press "import".</v>
      </c>
      <c r="D50" s="222"/>
      <c r="E50" s="222"/>
      <c r="F50" s="222"/>
      <c r="G50" s="222"/>
      <c r="H50" s="222"/>
      <c r="I50" s="87"/>
      <c r="J50" s="109"/>
      <c r="K50" s="64"/>
      <c r="L50" s="64"/>
    </row>
    <row r="51" spans="1:12" ht="15.6" customHeight="1" x14ac:dyDescent="0.3">
      <c r="A51" s="97"/>
      <c r="B51" s="82"/>
      <c r="C51" s="222" t="str">
        <f>INDEX(lang!219:219,1,LNG)</f>
        <v>To export a preset, choose one from the dropdown list and press "export". The data will be generated into the import input box - just copy and paste it to share.</v>
      </c>
      <c r="D51" s="222"/>
      <c r="E51" s="222"/>
      <c r="F51" s="222"/>
      <c r="G51" s="222"/>
      <c r="H51" s="222"/>
      <c r="I51" s="87"/>
      <c r="J51" s="109"/>
      <c r="K51" s="64"/>
      <c r="L51" s="64"/>
    </row>
    <row r="52" spans="1:12" x14ac:dyDescent="0.3">
      <c r="A52" s="97"/>
      <c r="B52" s="82"/>
      <c r="C52" s="222"/>
      <c r="D52" s="222"/>
      <c r="E52" s="222"/>
      <c r="F52" s="222"/>
      <c r="G52" s="222"/>
      <c r="H52" s="222"/>
      <c r="I52" s="87"/>
      <c r="J52" s="109"/>
      <c r="K52" s="64"/>
      <c r="L52" s="64"/>
    </row>
    <row r="53" spans="1:12" x14ac:dyDescent="0.3">
      <c r="A53" s="97"/>
      <c r="B53" s="82"/>
      <c r="C53" s="33"/>
      <c r="D53" s="33"/>
      <c r="E53" s="33"/>
      <c r="F53" s="33"/>
      <c r="G53" s="33"/>
      <c r="H53" s="33"/>
      <c r="I53" s="87"/>
      <c r="J53" s="109"/>
      <c r="K53" s="64"/>
      <c r="L53" s="64"/>
    </row>
    <row r="54" spans="1:12" ht="21" x14ac:dyDescent="0.3">
      <c r="A54" s="97"/>
      <c r="B54" s="82"/>
      <c r="C54" s="146" t="str">
        <f>INDEX(lang!220:220,1,LNG)</f>
        <v>The randomizer itself</v>
      </c>
      <c r="D54" s="33"/>
      <c r="E54" s="33"/>
      <c r="F54" s="33"/>
      <c r="G54" s="33"/>
      <c r="H54" s="33"/>
      <c r="I54" s="87"/>
      <c r="J54" s="109"/>
      <c r="K54" s="64"/>
      <c r="L54" s="64"/>
    </row>
    <row r="55" spans="1:12" x14ac:dyDescent="0.3">
      <c r="A55" s="97"/>
      <c r="B55" s="82"/>
      <c r="C55" s="33"/>
      <c r="D55" s="33"/>
      <c r="E55" s="33"/>
      <c r="F55" s="33"/>
      <c r="G55" s="33"/>
      <c r="H55" s="33"/>
      <c r="I55" s="87"/>
      <c r="J55" s="109"/>
      <c r="K55" s="64"/>
      <c r="L55" s="64"/>
    </row>
    <row r="56" spans="1:12" x14ac:dyDescent="0.3">
      <c r="A56" s="97"/>
      <c r="B56" s="82"/>
      <c r="C56" s="222" t="str">
        <f>INDEX(lang!221:221,1,LNG)</f>
        <v>Everything should be pretty self-explanatory, but here are a few finer details:</v>
      </c>
      <c r="D56" s="222"/>
      <c r="E56" s="222"/>
      <c r="F56" s="222"/>
      <c r="G56" s="222"/>
      <c r="H56" s="222"/>
      <c r="I56" s="87"/>
      <c r="J56" s="109"/>
      <c r="K56" s="64"/>
      <c r="L56" s="64"/>
    </row>
    <row r="57" spans="1:12" x14ac:dyDescent="0.3">
      <c r="A57" s="97"/>
      <c r="B57" s="82"/>
      <c r="C57" s="222"/>
      <c r="D57" s="222"/>
      <c r="E57" s="222"/>
      <c r="F57" s="222"/>
      <c r="G57" s="222"/>
      <c r="H57" s="222"/>
      <c r="I57" s="87"/>
      <c r="J57" s="109"/>
      <c r="K57" s="64"/>
      <c r="L57" s="64"/>
    </row>
    <row r="58" spans="1:12" ht="14.4" customHeight="1" x14ac:dyDescent="0.3">
      <c r="A58" s="97"/>
      <c r="B58" s="82"/>
      <c r="C58" s="222" t="str">
        <f>INDEX(lang!222:222,1,LNG)</f>
        <v>The boards represent a complete setup - that is, you are informed of the expansion to which each of them belongs, the location by which it can be discerned, whether any Queenies are present, what Nomad locations to use (if applicable and desired, see Boards options). The little arrow next to the big blue box tells you whether the board should be laid normally or upside down.</v>
      </c>
      <c r="D58" s="222"/>
      <c r="E58" s="222"/>
      <c r="F58" s="222"/>
      <c r="G58" s="222"/>
      <c r="H58" s="222"/>
      <c r="I58" s="87"/>
      <c r="J58" s="109"/>
      <c r="K58" s="64"/>
      <c r="L58" s="64"/>
    </row>
    <row r="59" spans="1:12" ht="14.4" customHeight="1" x14ac:dyDescent="0.3">
      <c r="A59" s="97"/>
      <c r="B59" s="82"/>
      <c r="C59" s="222"/>
      <c r="D59" s="222"/>
      <c r="E59" s="222"/>
      <c r="F59" s="222"/>
      <c r="G59" s="222"/>
      <c r="H59" s="222"/>
      <c r="I59" s="87"/>
      <c r="J59" s="109"/>
      <c r="K59" s="64"/>
      <c r="L59" s="64"/>
    </row>
    <row r="60" spans="1:12" x14ac:dyDescent="0.3">
      <c r="A60" s="97"/>
      <c r="B60" s="82"/>
      <c r="C60" s="222"/>
      <c r="D60" s="222"/>
      <c r="E60" s="222"/>
      <c r="F60" s="222"/>
      <c r="G60" s="222"/>
      <c r="H60" s="222"/>
      <c r="I60" s="87"/>
      <c r="J60" s="109"/>
      <c r="K60" s="64"/>
      <c r="L60" s="64"/>
    </row>
    <row r="61" spans="1:12" x14ac:dyDescent="0.3">
      <c r="A61" s="97"/>
      <c r="B61" s="82"/>
      <c r="C61" s="222" t="str">
        <f>INDEX(lang!223:223,1,LNG)</f>
        <v>If Queenie Island is to be used, it will appear to the right of the normal boards, also with the side chosen.</v>
      </c>
      <c r="D61" s="222"/>
      <c r="E61" s="222"/>
      <c r="F61" s="222"/>
      <c r="G61" s="222"/>
      <c r="H61" s="222"/>
      <c r="I61" s="87"/>
      <c r="J61" s="109"/>
      <c r="K61" s="64"/>
      <c r="L61" s="64"/>
    </row>
    <row r="62" spans="1:12" x14ac:dyDescent="0.3">
      <c r="A62" s="97"/>
      <c r="B62" s="82"/>
      <c r="C62" s="222"/>
      <c r="D62" s="222"/>
      <c r="E62" s="222"/>
      <c r="F62" s="222"/>
      <c r="G62" s="222"/>
      <c r="H62" s="222"/>
      <c r="I62" s="87"/>
      <c r="J62" s="109"/>
      <c r="K62" s="64"/>
      <c r="L62" s="64"/>
    </row>
    <row r="63" spans="1:12" x14ac:dyDescent="0.3">
      <c r="A63" s="97"/>
      <c r="B63" s="82"/>
      <c r="C63" s="222" t="str">
        <f>INDEX(lang!224:224,1,LNG)</f>
        <v>Whenever you click "generate a new setup", exactly that will happen, according to the options currently set. If the options are chosen in a way that makes it impossible to generate a new setup, an appropriate error message will appear. The option category names also turn red when there are errors in them.</v>
      </c>
      <c r="D63" s="222"/>
      <c r="E63" s="222"/>
      <c r="F63" s="222"/>
      <c r="G63" s="222"/>
      <c r="H63" s="222"/>
      <c r="I63" s="87"/>
      <c r="J63" s="109"/>
      <c r="K63" s="64"/>
      <c r="L63" s="64"/>
    </row>
    <row r="64" spans="1:12" x14ac:dyDescent="0.3">
      <c r="A64" s="97"/>
      <c r="B64" s="82"/>
      <c r="C64" s="222"/>
      <c r="D64" s="222"/>
      <c r="E64" s="222"/>
      <c r="F64" s="222"/>
      <c r="G64" s="222"/>
      <c r="H64" s="222"/>
      <c r="I64" s="87"/>
      <c r="J64" s="109"/>
      <c r="K64" s="64"/>
      <c r="L64" s="64"/>
    </row>
    <row r="65" spans="1:12" x14ac:dyDescent="0.3">
      <c r="A65" s="97"/>
      <c r="B65" s="82"/>
      <c r="C65" s="222"/>
      <c r="D65" s="222"/>
      <c r="E65" s="222"/>
      <c r="F65" s="222"/>
      <c r="G65" s="222"/>
      <c r="H65" s="222"/>
      <c r="I65" s="87"/>
      <c r="J65" s="109"/>
      <c r="K65" s="64"/>
      <c r="L65" s="64"/>
    </row>
    <row r="66" spans="1:12" x14ac:dyDescent="0.3">
      <c r="A66" s="97"/>
      <c r="B66" s="82"/>
      <c r="C66" s="33"/>
      <c r="D66" s="33"/>
      <c r="E66" s="33"/>
      <c r="F66" s="33"/>
      <c r="G66" s="33"/>
      <c r="H66" s="33"/>
      <c r="I66" s="87"/>
      <c r="J66" s="109"/>
      <c r="K66" s="64"/>
      <c r="L66" s="64"/>
    </row>
    <row r="67" spans="1:12" ht="21" customHeight="1" x14ac:dyDescent="0.3">
      <c r="A67" s="97"/>
      <c r="B67" s="82"/>
      <c r="C67" s="225" t="str">
        <f>INDEX(lang!225:225,1,LNG)</f>
        <v>If anything isn't covered by these instructions, feel free to ask - see the About tab for contact information.</v>
      </c>
      <c r="D67" s="225"/>
      <c r="E67" s="225"/>
      <c r="F67" s="225"/>
      <c r="G67" s="225"/>
      <c r="H67" s="225"/>
      <c r="I67" s="87"/>
      <c r="J67" s="109"/>
      <c r="K67" s="64"/>
      <c r="L67" s="64"/>
    </row>
    <row r="68" spans="1:12" ht="21" customHeight="1" x14ac:dyDescent="0.3">
      <c r="A68" s="97"/>
      <c r="B68" s="82"/>
      <c r="C68" s="225"/>
      <c r="D68" s="225"/>
      <c r="E68" s="225"/>
      <c r="F68" s="225"/>
      <c r="G68" s="225"/>
      <c r="H68" s="225"/>
      <c r="I68" s="87"/>
      <c r="J68" s="109"/>
      <c r="K68" s="64"/>
      <c r="L68" s="64"/>
    </row>
    <row r="69" spans="1:12" ht="15" thickBot="1" x14ac:dyDescent="0.35">
      <c r="A69" s="97"/>
      <c r="B69" s="83"/>
      <c r="C69" s="79"/>
      <c r="D69" s="79"/>
      <c r="E69" s="79"/>
      <c r="F69" s="79"/>
      <c r="G69" s="79"/>
      <c r="H69" s="79"/>
      <c r="I69" s="117">
        <v>0</v>
      </c>
      <c r="J69" s="109">
        <v>0</v>
      </c>
      <c r="K69" s="64"/>
      <c r="L69" s="64"/>
    </row>
    <row r="70" spans="1:12" ht="15" thickTop="1" x14ac:dyDescent="0.3">
      <c r="A70" s="100">
        <v>0</v>
      </c>
      <c r="B70" s="98">
        <v>0</v>
      </c>
      <c r="C70" s="98">
        <v>0</v>
      </c>
      <c r="D70" s="98"/>
      <c r="E70" s="98"/>
      <c r="F70" s="98"/>
      <c r="G70" s="98"/>
      <c r="H70" s="98"/>
      <c r="I70" s="98">
        <v>0</v>
      </c>
      <c r="J70" s="100">
        <v>0</v>
      </c>
      <c r="K70" s="64"/>
      <c r="L70" s="64"/>
    </row>
    <row r="71" spans="1:12" x14ac:dyDescent="0.3">
      <c r="A71" s="64"/>
      <c r="B71" s="64"/>
      <c r="C71" s="151"/>
      <c r="D71" s="64"/>
      <c r="E71" s="64"/>
      <c r="F71" s="64"/>
      <c r="G71" s="64"/>
      <c r="H71" s="64"/>
      <c r="I71" s="64"/>
      <c r="J71" s="64"/>
      <c r="K71" s="64"/>
      <c r="L71" s="64"/>
    </row>
    <row r="72" spans="1:12" x14ac:dyDescent="0.3">
      <c r="A72" s="64"/>
      <c r="B72" s="64"/>
      <c r="C72" s="151"/>
      <c r="D72" s="64"/>
      <c r="E72" s="64"/>
      <c r="F72" s="64"/>
      <c r="G72" s="64"/>
      <c r="H72" s="64"/>
      <c r="I72" s="64"/>
      <c r="J72" s="64"/>
      <c r="K72" s="64"/>
      <c r="L72" s="64"/>
    </row>
    <row r="73" spans="1:12" x14ac:dyDescent="0.3">
      <c r="A73" s="64"/>
      <c r="B73" s="64"/>
      <c r="C73" s="151"/>
      <c r="D73" s="64"/>
      <c r="E73" s="64"/>
      <c r="F73" s="64"/>
      <c r="G73" s="64"/>
      <c r="H73" s="64"/>
      <c r="I73" s="64"/>
      <c r="J73" s="64"/>
      <c r="K73" s="64"/>
      <c r="L73" s="64"/>
    </row>
    <row r="74" spans="1:12" x14ac:dyDescent="0.3">
      <c r="A74" s="64"/>
      <c r="B74" s="64"/>
      <c r="C74" s="151"/>
      <c r="D74" s="64"/>
      <c r="E74" s="64"/>
      <c r="F74" s="64"/>
      <c r="G74" s="64"/>
      <c r="H74" s="64"/>
      <c r="I74" s="64"/>
      <c r="J74" s="64"/>
      <c r="K74" s="64"/>
      <c r="L74" s="64"/>
    </row>
    <row r="75" spans="1:12" x14ac:dyDescent="0.3">
      <c r="A75" s="64"/>
      <c r="B75" s="64"/>
      <c r="C75" s="151"/>
      <c r="D75" s="64"/>
      <c r="E75" s="64"/>
      <c r="F75" s="64"/>
      <c r="G75" s="64"/>
      <c r="H75" s="64"/>
      <c r="I75" s="64"/>
      <c r="J75" s="64"/>
      <c r="K75" s="64"/>
      <c r="L75" s="64"/>
    </row>
    <row r="76" spans="1:12" x14ac:dyDescent="0.3">
      <c r="A76" s="64"/>
      <c r="B76" s="64"/>
      <c r="C76" s="151"/>
      <c r="D76" s="64"/>
      <c r="E76" s="64"/>
      <c r="F76" s="64"/>
      <c r="G76" s="64"/>
      <c r="H76" s="64"/>
      <c r="I76" s="64"/>
      <c r="J76" s="64"/>
      <c r="K76" s="64"/>
      <c r="L76" s="64"/>
    </row>
    <row r="77" spans="1:12" x14ac:dyDescent="0.3">
      <c r="A77" s="64"/>
      <c r="B77" s="64"/>
      <c r="C77" s="151"/>
      <c r="D77" s="64"/>
      <c r="E77" s="64"/>
      <c r="F77" s="64"/>
      <c r="G77" s="64"/>
      <c r="H77" s="64"/>
      <c r="I77" s="64"/>
      <c r="J77" s="64"/>
      <c r="K77" s="64"/>
      <c r="L77" s="64"/>
    </row>
    <row r="78" spans="1:12" x14ac:dyDescent="0.3">
      <c r="A78" s="64"/>
      <c r="B78" s="64"/>
      <c r="C78" s="151"/>
      <c r="D78" s="64"/>
      <c r="E78" s="64"/>
      <c r="F78" s="64"/>
      <c r="G78" s="64"/>
      <c r="H78" s="64"/>
      <c r="I78" s="64"/>
      <c r="J78" s="64"/>
      <c r="K78" s="64"/>
      <c r="L78" s="64"/>
    </row>
  </sheetData>
  <sheetProtection algorithmName="SHA-512" hashValue="gX9KoKTC7sO5DUB+qVKsx4KM/uBSWcKIhrwxsc2wtGFt/2nF4x6thTO5sspS/0+e/wMKBXkgMCxlkcuTgdhkhQ==" saltValue="er2224O3C+qqyPtd+8x/4g==" spinCount="100000" sheet="1" objects="1" scenarios="1"/>
  <mergeCells count="21">
    <mergeCell ref="C63:H65"/>
    <mergeCell ref="C67:H68"/>
    <mergeCell ref="C50:H50"/>
    <mergeCell ref="C51:H52"/>
    <mergeCell ref="C56:H57"/>
    <mergeCell ref="C58:H60"/>
    <mergeCell ref="C40:H42"/>
    <mergeCell ref="C46:H47"/>
    <mergeCell ref="C48:H48"/>
    <mergeCell ref="C49:H49"/>
    <mergeCell ref="C61:H62"/>
    <mergeCell ref="C23:H24"/>
    <mergeCell ref="C25:H26"/>
    <mergeCell ref="C30:H31"/>
    <mergeCell ref="C32:H34"/>
    <mergeCell ref="C35:H36"/>
    <mergeCell ref="C7:H11"/>
    <mergeCell ref="C12:H13"/>
    <mergeCell ref="C14:H15"/>
    <mergeCell ref="C16:H17"/>
    <mergeCell ref="C21:H2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57"/>
  <sheetViews>
    <sheetView zoomScaleNormal="100" workbookViewId="0"/>
  </sheetViews>
  <sheetFormatPr defaultRowHeight="14.4" x14ac:dyDescent="0.3"/>
  <cols>
    <col min="1" max="1" width="3.21875" customWidth="1"/>
    <col min="2" max="2" width="2.77734375" customWidth="1"/>
    <col min="3" max="4" width="60.77734375" customWidth="1"/>
    <col min="5" max="5" width="2.77734375" customWidth="1"/>
    <col min="6" max="6" width="42.44140625" customWidth="1"/>
    <col min="7" max="7" width="2.77734375" customWidth="1"/>
    <col min="8" max="8" width="17.109375" customWidth="1"/>
    <col min="9" max="9" width="2.77734375" customWidth="1"/>
    <col min="10" max="10" width="3.88671875" customWidth="1"/>
    <col min="12" max="13" width="153.6640625" customWidth="1"/>
    <col min="22" max="22" width="14.44140625" customWidth="1"/>
  </cols>
  <sheetData>
    <row r="1" spans="1:21" ht="15" thickBot="1" x14ac:dyDescent="0.35">
      <c r="A1" s="64"/>
      <c r="B1" s="95"/>
      <c r="C1" s="85"/>
      <c r="D1" s="85"/>
      <c r="E1" s="85"/>
      <c r="F1" s="85"/>
      <c r="G1" s="85"/>
      <c r="H1" s="85"/>
      <c r="I1" s="119">
        <f>data!R1</f>
        <v>0</v>
      </c>
      <c r="J1" s="98">
        <v>0</v>
      </c>
      <c r="K1" s="64"/>
      <c r="L1" s="64"/>
      <c r="M1" s="64"/>
    </row>
    <row r="2" spans="1:21" ht="15.6" thickTop="1" thickBot="1" x14ac:dyDescent="0.35">
      <c r="A2" s="97"/>
      <c r="B2" s="82"/>
      <c r="C2" s="33"/>
      <c r="D2" s="33"/>
      <c r="E2" s="33"/>
      <c r="F2" s="33"/>
      <c r="G2" s="33"/>
      <c r="H2" s="33"/>
      <c r="I2" s="159" t="b">
        <v>1</v>
      </c>
      <c r="J2" s="109">
        <v>0</v>
      </c>
      <c r="K2" s="64"/>
      <c r="L2" s="64"/>
      <c r="M2" s="64"/>
    </row>
    <row r="3" spans="1:21" ht="21" hidden="1" x14ac:dyDescent="0.4">
      <c r="A3" s="97"/>
      <c r="B3" s="82"/>
      <c r="C3" s="34" t="str">
        <f>INDEX(lang!141:141,1,LNG)&amp;": "&amp;TEXT(I1,"0")</f>
        <v>Errors: 0</v>
      </c>
      <c r="D3" s="33"/>
      <c r="E3" s="33"/>
      <c r="F3" s="33"/>
      <c r="G3" s="33"/>
      <c r="H3" s="33"/>
      <c r="I3" s="87">
        <v>0</v>
      </c>
      <c r="J3" s="109">
        <v>0</v>
      </c>
      <c r="K3" s="64"/>
      <c r="L3" s="64"/>
      <c r="M3" s="64"/>
    </row>
    <row r="4" spans="1:21" ht="15" hidden="1" customHeight="1" x14ac:dyDescent="0.3">
      <c r="A4" s="97"/>
      <c r="B4" s="82"/>
      <c r="C4" s="33"/>
      <c r="D4" s="33"/>
      <c r="E4" s="33"/>
      <c r="F4" s="33"/>
      <c r="G4" s="33"/>
      <c r="H4" s="33"/>
      <c r="I4" s="87">
        <v>0</v>
      </c>
      <c r="J4" s="109">
        <v>0</v>
      </c>
      <c r="K4" s="64"/>
      <c r="L4" s="64"/>
      <c r="M4" s="64"/>
    </row>
    <row r="5" spans="1:21" ht="72" hidden="1" customHeight="1" x14ac:dyDescent="0.3">
      <c r="A5" s="97"/>
      <c r="B5" s="82"/>
      <c r="C5" s="226" t="str">
        <f>data!S13</f>
        <v/>
      </c>
      <c r="D5" s="227"/>
      <c r="E5" s="227"/>
      <c r="F5" s="227"/>
      <c r="G5" s="227"/>
      <c r="H5" s="228"/>
      <c r="I5" s="87">
        <v>0</v>
      </c>
      <c r="J5" s="109">
        <v>0</v>
      </c>
      <c r="K5" s="64"/>
      <c r="L5" s="64"/>
      <c r="M5" s="64"/>
    </row>
    <row r="6" spans="1:21" ht="15" hidden="1" thickBot="1" x14ac:dyDescent="0.35">
      <c r="A6" s="97"/>
      <c r="B6" s="83"/>
      <c r="C6" s="79"/>
      <c r="D6" s="79"/>
      <c r="E6" s="79"/>
      <c r="F6" s="79"/>
      <c r="G6" s="79"/>
      <c r="H6" s="79"/>
      <c r="I6" s="117">
        <v>0</v>
      </c>
      <c r="J6" s="109">
        <v>0</v>
      </c>
      <c r="K6" s="103"/>
      <c r="L6" s="64"/>
      <c r="M6" s="64"/>
      <c r="N6" s="47"/>
      <c r="O6" s="47"/>
      <c r="P6" s="47"/>
      <c r="Q6" s="47"/>
      <c r="R6" s="47"/>
      <c r="S6" s="47"/>
      <c r="T6" s="47"/>
      <c r="U6" s="47"/>
    </row>
    <row r="7" spans="1:21" ht="15" hidden="1" thickTop="1" x14ac:dyDescent="0.3">
      <c r="A7" s="97"/>
      <c r="B7" s="82"/>
      <c r="C7" s="33"/>
      <c r="D7" s="33"/>
      <c r="E7" s="33"/>
      <c r="F7" s="33"/>
      <c r="G7" s="33"/>
      <c r="H7" s="33"/>
      <c r="I7" s="87">
        <v>0</v>
      </c>
      <c r="J7" s="109">
        <v>0</v>
      </c>
      <c r="K7" s="103"/>
      <c r="L7" s="64"/>
      <c r="M7" s="64"/>
      <c r="N7" s="47"/>
      <c r="O7" s="47"/>
      <c r="P7" s="47"/>
      <c r="Q7" s="47"/>
      <c r="R7" s="47"/>
      <c r="S7" s="47"/>
      <c r="T7" s="47"/>
      <c r="U7" s="47"/>
    </row>
    <row r="8" spans="1:21" ht="31.95" hidden="1" customHeight="1" x14ac:dyDescent="0.3">
      <c r="A8" s="97"/>
      <c r="B8" s="82"/>
      <c r="C8" s="229" t="str">
        <f>INDEX(lang!150:150,1,LNG)</f>
        <v>Game setup impossible to generate unitl errors are resolved. Consult the error messages above and correct the appropriate options to see results.</v>
      </c>
      <c r="D8" s="230"/>
      <c r="E8" s="230"/>
      <c r="F8" s="230"/>
      <c r="G8" s="230"/>
      <c r="H8" s="231"/>
      <c r="I8" s="87">
        <v>0</v>
      </c>
      <c r="J8" s="109">
        <v>0</v>
      </c>
      <c r="K8" s="103"/>
      <c r="L8" s="64"/>
      <c r="M8" s="64"/>
      <c r="N8" s="47"/>
      <c r="O8" s="47"/>
      <c r="P8" s="47"/>
      <c r="Q8" s="47"/>
      <c r="R8" s="47"/>
      <c r="S8" s="47"/>
      <c r="T8" s="47"/>
      <c r="U8" s="47"/>
    </row>
    <row r="9" spans="1:21" ht="15" hidden="1" customHeight="1" thickBot="1" x14ac:dyDescent="0.35">
      <c r="A9" s="97"/>
      <c r="B9" s="82"/>
      <c r="C9" s="106"/>
      <c r="D9" s="106"/>
      <c r="E9" s="106"/>
      <c r="F9" s="106"/>
      <c r="G9" s="106"/>
      <c r="H9" s="106"/>
      <c r="I9" s="87"/>
      <c r="J9" s="109">
        <v>0</v>
      </c>
      <c r="K9" s="103"/>
      <c r="L9" s="64"/>
      <c r="M9" s="64"/>
      <c r="N9" s="47"/>
      <c r="O9" s="47"/>
      <c r="P9" s="47"/>
      <c r="Q9" s="47"/>
      <c r="R9" s="47"/>
      <c r="S9" s="47"/>
      <c r="T9" s="47"/>
      <c r="U9" s="47"/>
    </row>
    <row r="10" spans="1:21" ht="31.95" customHeight="1" thickTop="1" thickBot="1" x14ac:dyDescent="0.45">
      <c r="A10" s="97"/>
      <c r="B10" s="18"/>
      <c r="C10" s="34" t="str">
        <f>INDEX(lang!10:10,1,LNG)</f>
        <v>Boards</v>
      </c>
      <c r="D10" s="104"/>
      <c r="E10" s="104"/>
      <c r="F10" s="232" t="str">
        <f>INDEX(lang!96:96,1,LNG)</f>
        <v>GENERATE A NEW SETUP</v>
      </c>
      <c r="G10" s="233"/>
      <c r="H10" s="234"/>
      <c r="I10" s="118" t="b">
        <f>AND(I1=1,I2=FALSE)</f>
        <v>0</v>
      </c>
      <c r="J10" s="109">
        <v>0</v>
      </c>
      <c r="K10" s="64"/>
      <c r="L10" s="64"/>
      <c r="M10" s="64"/>
    </row>
    <row r="11" spans="1:21" ht="15" customHeight="1" thickTop="1" thickBot="1" x14ac:dyDescent="0.35">
      <c r="A11" s="97"/>
      <c r="B11" s="82"/>
      <c r="C11" s="86"/>
      <c r="D11" s="33"/>
      <c r="E11" s="33"/>
      <c r="F11" s="33"/>
      <c r="G11" s="33"/>
      <c r="H11" s="33"/>
      <c r="I11" s="87">
        <v>0</v>
      </c>
      <c r="J11" s="109">
        <v>0</v>
      </c>
      <c r="K11" s="64"/>
      <c r="L11" s="64"/>
      <c r="M11" s="64"/>
    </row>
    <row r="12" spans="1:21" ht="75" customHeight="1" thickBot="1" x14ac:dyDescent="0.35">
      <c r="A12" s="97"/>
      <c r="B12" s="163">
        <f>IF('data-saves'!V52&gt;24,1,0)</f>
        <v>0</v>
      </c>
      <c r="C12" s="116" t="str">
        <f>INDEX(data!$D$15:$D$38,'data-saves'!W52)&amp;IF(OR('data-saves'!V53=1,'data-saves'!V54=1),CHAR(10)&amp;IF('data-saves'!V53=1,"+ "&amp;INDEX(lang!64:64,1,LNG)&amp;" ","")&amp;IF('data-saves'!V54=1,"+ "&amp;INDEX(lang!66:66,1,LNG),""),"")&amp;'data-saves'!W57</f>
        <v>Base: Oasis</v>
      </c>
      <c r="D12" s="116" t="str">
        <f>INDEX(data!$D$15:$D$38,'data-saves'!W58)&amp;IF(OR('data-saves'!V59=1,'data-saves'!V60=1),CHAR(10)&amp;IF('data-saves'!V59=1,"+ "&amp;INDEX(lang!64:64,1,LNG)&amp;" ","")&amp;IF('data-saves'!V60=1,"+ "&amp;INDEX(lang!66:66,1,LNG),""),"")&amp;'data-saves'!W63</f>
        <v>Base: Harbor</v>
      </c>
      <c r="E12" s="40">
        <f>IF('data-saves'!V64&gt;24,1,0)</f>
        <v>1</v>
      </c>
      <c r="F12" s="240" t="str">
        <f>IF('data-saves'!V83&gt;0,INDEX(lang!68:68,1,LNG)&amp;CHAR(10)&amp;IF('data-saves'!V83&gt;1,data!D152,data!D151),"")</f>
        <v/>
      </c>
      <c r="G12" s="241"/>
      <c r="H12" s="242"/>
      <c r="I12" s="87">
        <v>0</v>
      </c>
      <c r="J12" s="109">
        <v>0</v>
      </c>
      <c r="K12" s="64"/>
      <c r="L12" s="64"/>
      <c r="M12" s="64"/>
    </row>
    <row r="13" spans="1:21" ht="75" customHeight="1" thickBot="1" x14ac:dyDescent="0.35">
      <c r="A13" s="97"/>
      <c r="B13" s="84">
        <f>IF('data-saves'!V58&gt;24,1,0)</f>
        <v>0</v>
      </c>
      <c r="C13" s="116" t="str">
        <f>INDEX(data!$D$15:$D$38,'data-saves'!W64)&amp;IF(OR('data-saves'!V65=1,'data-saves'!V66=1),CHAR(10)&amp;IF('data-saves'!V65=1,"+ "&amp;INDEX(lang!64:64,1,LNG)&amp;" ","")&amp;IF('data-saves'!V66=1,"+ "&amp;INDEX(lang!66:66,1,LNG),""),"")&amp;'data-saves'!W69</f>
        <v>Base: Tower</v>
      </c>
      <c r="D13" s="116" t="str">
        <f>INDEX(data!$D$15:$D$38,'data-saves'!W70)&amp;IF(OR('data-saves'!V71=1,'data-saves'!V72=1),CHAR(10)&amp;IF('data-saves'!V71=1,"+ "&amp;INDEX(lang!64:64,1,LNG)&amp;" ","")&amp;IF('data-saves'!V72=1,"+ "&amp;INDEX(lang!66:66,1,LNG),""),"")&amp;'data-saves'!W75</f>
        <v>Base: Oracle</v>
      </c>
      <c r="E13" s="40">
        <f>IF('data-saves'!V70&gt;24,1,0)</f>
        <v>1</v>
      </c>
      <c r="F13" s="70"/>
      <c r="G13" s="33"/>
      <c r="H13" s="33"/>
      <c r="I13" s="87">
        <v>0</v>
      </c>
      <c r="J13" s="109">
        <v>0</v>
      </c>
      <c r="K13" s="64"/>
      <c r="L13" s="64"/>
      <c r="M13" s="64"/>
    </row>
    <row r="14" spans="1:21" ht="15.6" x14ac:dyDescent="0.3">
      <c r="A14" s="97"/>
      <c r="B14" s="82"/>
      <c r="C14" s="105"/>
      <c r="E14" s="33"/>
      <c r="F14" s="33"/>
      <c r="G14" s="33"/>
      <c r="H14" s="33"/>
      <c r="I14" s="87">
        <v>0</v>
      </c>
      <c r="J14" s="109">
        <v>0</v>
      </c>
      <c r="K14" s="64"/>
      <c r="L14" s="64"/>
      <c r="M14" s="64"/>
    </row>
    <row r="15" spans="1:21" ht="21" x14ac:dyDescent="0.3">
      <c r="A15" s="97"/>
      <c r="B15" s="82"/>
      <c r="C15" s="45" t="str">
        <f>INDEX(lang!35:35,1,LNG)</f>
        <v>Kingdom Builder cards</v>
      </c>
      <c r="D15" s="45" t="str">
        <f>IF(SUM('data-saves'!V79:V82)&gt;0,INDEX(lang!88:88,1,LNG),"")</f>
        <v/>
      </c>
      <c r="E15" s="33"/>
      <c r="F15" s="45" t="str">
        <f>INDEX(lang!136:136,1,LNG)</f>
        <v>Options</v>
      </c>
      <c r="G15" s="33"/>
      <c r="H15" s="33"/>
      <c r="I15" s="87">
        <v>0</v>
      </c>
      <c r="J15" s="109">
        <v>0</v>
      </c>
      <c r="K15" s="64"/>
      <c r="L15" s="64"/>
      <c r="M15" s="64"/>
    </row>
    <row r="16" spans="1:21" ht="19.95" customHeight="1" x14ac:dyDescent="0.3">
      <c r="A16" s="97"/>
      <c r="B16" s="82"/>
      <c r="C16" s="43" t="str">
        <f>INDEX(data!$D$60:$D$84,'data-saves'!V76)</f>
        <v>Base: Workers</v>
      </c>
      <c r="D16" s="43" t="str">
        <f>IF('data-saves'!V79=0,"",INDEX(data!$C$99:$C$104,'data-saves'!V79))</f>
        <v/>
      </c>
      <c r="E16" s="33"/>
      <c r="F16" s="43" t="str">
        <f>Options!R14</f>
        <v>Boards options</v>
      </c>
      <c r="G16" s="33"/>
      <c r="H16" s="33"/>
      <c r="I16" s="87">
        <v>0</v>
      </c>
      <c r="J16" s="109">
        <v>0</v>
      </c>
      <c r="K16" s="64"/>
      <c r="L16" s="64"/>
      <c r="M16" s="64"/>
    </row>
    <row r="17" spans="1:26" ht="19.95" customHeight="1" x14ac:dyDescent="0.3">
      <c r="A17" s="97"/>
      <c r="B17" s="82"/>
      <c r="C17" s="43" t="str">
        <f>INDEX(data!$D$60:$D$84,'data-saves'!V77)</f>
        <v>Base: Fishers</v>
      </c>
      <c r="D17" s="43" t="str">
        <f>IF('data-saves'!V80=0,"",INDEX(data!$C$99:$C$104,'data-saves'!V80))</f>
        <v/>
      </c>
      <c r="E17" s="33"/>
      <c r="F17" s="43" t="str">
        <f>Options!R26</f>
        <v>Kingdom Builder cards options</v>
      </c>
      <c r="G17" s="33"/>
      <c r="H17" s="33"/>
      <c r="I17" s="87">
        <v>0</v>
      </c>
      <c r="J17" s="109">
        <v>0</v>
      </c>
      <c r="K17" s="64"/>
      <c r="L17" s="64"/>
      <c r="M17" s="64"/>
    </row>
    <row r="18" spans="1:26" ht="19.95" customHeight="1" x14ac:dyDescent="0.3">
      <c r="A18" s="97"/>
      <c r="B18" s="82"/>
      <c r="C18" s="43" t="str">
        <f>INDEX(data!$D$60:$D$84,'data-saves'!V78)</f>
        <v>Base: Miners</v>
      </c>
      <c r="D18" s="43" t="str">
        <f>IF('data-saves'!V81=0,"",INDEX(data!$C$99:$C$104,'data-saves'!V81))</f>
        <v/>
      </c>
      <c r="E18" s="33"/>
      <c r="F18" s="43" t="str">
        <f>Options!R39</f>
        <v>Task cards options</v>
      </c>
      <c r="G18" s="33"/>
      <c r="H18" s="33"/>
      <c r="I18" s="87">
        <v>0</v>
      </c>
      <c r="J18" s="109">
        <v>0</v>
      </c>
      <c r="K18" s="64"/>
      <c r="L18" s="64"/>
      <c r="M18" s="64"/>
    </row>
    <row r="19" spans="1:26" ht="19.95" customHeight="1" thickBot="1" x14ac:dyDescent="0.35">
      <c r="A19" s="97"/>
      <c r="B19" s="82"/>
      <c r="C19" s="33"/>
      <c r="D19" s="43" t="str">
        <f>IF('data-saves'!V82=0,"",INDEX(data!$C$99:$C$104,'data-saves'!V82))</f>
        <v/>
      </c>
      <c r="E19" s="33"/>
      <c r="F19" s="43" t="str">
        <f>Options!R57</f>
        <v>Queenies options</v>
      </c>
      <c r="G19" s="33"/>
      <c r="H19" s="33"/>
      <c r="I19" s="87">
        <v>0</v>
      </c>
      <c r="J19" s="109">
        <v>0</v>
      </c>
      <c r="K19" s="64"/>
      <c r="L19" s="64"/>
      <c r="M19" s="64"/>
    </row>
    <row r="20" spans="1:26" ht="19.95" customHeight="1" thickTop="1" thickBot="1" x14ac:dyDescent="0.35">
      <c r="A20" s="97"/>
      <c r="B20" s="82"/>
      <c r="C20" s="33"/>
      <c r="D20" s="43"/>
      <c r="E20" s="33"/>
      <c r="F20" s="43" t="str">
        <f>Options!R75</f>
        <v>Options presets</v>
      </c>
      <c r="G20" s="33"/>
      <c r="H20" s="167" t="s">
        <v>681</v>
      </c>
      <c r="I20" s="87"/>
      <c r="J20" s="109"/>
      <c r="K20" s="64"/>
      <c r="L20" s="64"/>
      <c r="M20" s="64"/>
    </row>
    <row r="21" spans="1:26" ht="15.6" thickTop="1" thickBot="1" x14ac:dyDescent="0.35">
      <c r="A21" s="97"/>
      <c r="B21" s="83"/>
      <c r="C21" s="79"/>
      <c r="D21" s="79"/>
      <c r="E21" s="79"/>
      <c r="F21" s="79"/>
      <c r="G21" s="79"/>
      <c r="H21" s="79"/>
      <c r="I21" s="117">
        <v>0</v>
      </c>
      <c r="J21" s="109">
        <v>0</v>
      </c>
      <c r="K21" s="103"/>
      <c r="L21" s="64"/>
      <c r="M21" s="64"/>
      <c r="N21" s="47"/>
      <c r="O21" s="47"/>
      <c r="P21" s="47"/>
      <c r="Q21" s="47"/>
      <c r="R21" s="47"/>
      <c r="S21" s="47"/>
      <c r="T21" s="47"/>
      <c r="U21" s="47"/>
    </row>
    <row r="22" spans="1:26" ht="15.6" thickTop="1" thickBot="1" x14ac:dyDescent="0.35">
      <c r="A22" s="97"/>
      <c r="B22" s="82"/>
      <c r="C22" s="33"/>
      <c r="D22" s="33"/>
      <c r="E22" s="33"/>
      <c r="F22" s="33"/>
      <c r="G22" s="33"/>
      <c r="H22" s="33"/>
      <c r="I22" s="87">
        <v>0</v>
      </c>
      <c r="J22" s="109">
        <v>0</v>
      </c>
      <c r="K22" s="103"/>
      <c r="L22" s="64"/>
      <c r="M22" s="64"/>
      <c r="N22" s="47"/>
      <c r="O22" s="47"/>
      <c r="P22" s="47"/>
      <c r="Q22" s="47"/>
      <c r="R22" s="47"/>
      <c r="S22" s="47"/>
      <c r="T22" s="47"/>
      <c r="U22" s="47"/>
    </row>
    <row r="23" spans="1:26" ht="22.2" thickTop="1" thickBot="1" x14ac:dyDescent="0.45">
      <c r="A23" s="97"/>
      <c r="B23" s="82"/>
      <c r="C23" s="34" t="str">
        <f>INDEX(lang!133:133,1,LNG)</f>
        <v>Game presets</v>
      </c>
      <c r="D23" s="33"/>
      <c r="E23" s="33"/>
      <c r="F23" s="33"/>
      <c r="G23" s="33"/>
      <c r="H23" s="167" t="s">
        <v>681</v>
      </c>
      <c r="I23" s="87">
        <v>0</v>
      </c>
      <c r="J23" s="109">
        <v>0</v>
      </c>
      <c r="K23" s="64"/>
      <c r="L23" s="64"/>
      <c r="M23" s="64"/>
      <c r="N23" s="164"/>
      <c r="O23" s="164"/>
      <c r="P23" s="164"/>
      <c r="Q23" s="164"/>
      <c r="R23" s="164"/>
      <c r="S23" s="164"/>
      <c r="T23" s="164"/>
      <c r="U23" s="164"/>
      <c r="V23" s="164"/>
      <c r="W23" s="164"/>
      <c r="X23" s="164"/>
      <c r="Y23" s="164"/>
      <c r="Z23" s="164"/>
    </row>
    <row r="24" spans="1:26" ht="15" thickTop="1" x14ac:dyDescent="0.3">
      <c r="A24" s="97"/>
      <c r="B24" s="82"/>
      <c r="C24" s="33"/>
      <c r="D24" s="33"/>
      <c r="E24" s="33"/>
      <c r="F24" s="33"/>
      <c r="G24" s="33"/>
      <c r="H24" s="33"/>
      <c r="I24" s="87">
        <v>0</v>
      </c>
      <c r="J24" s="109">
        <v>0</v>
      </c>
      <c r="K24" s="64"/>
      <c r="L24" s="64"/>
      <c r="M24" s="64"/>
      <c r="N24" s="164"/>
      <c r="O24" s="164"/>
      <c r="P24" s="164"/>
      <c r="Q24" s="164"/>
      <c r="R24" s="164"/>
      <c r="S24" s="164"/>
      <c r="T24" s="164"/>
      <c r="U24" s="164"/>
      <c r="V24" s="164"/>
      <c r="W24" s="164"/>
      <c r="X24" s="164"/>
      <c r="Y24" s="164"/>
      <c r="Z24" s="164"/>
    </row>
    <row r="25" spans="1:26" ht="16.2" thickBot="1" x14ac:dyDescent="0.35">
      <c r="A25" s="97"/>
      <c r="B25" s="82"/>
      <c r="C25" s="92" t="str">
        <f>INDEX(lang!134:134,1,LNG)</f>
        <v>Save current game preset as: (limited to 150 characters)</v>
      </c>
      <c r="D25" s="33"/>
      <c r="E25" s="33"/>
      <c r="F25" s="33"/>
      <c r="G25" s="33"/>
      <c r="H25" s="144"/>
      <c r="I25" s="87">
        <v>0</v>
      </c>
      <c r="J25" s="109">
        <v>0</v>
      </c>
      <c r="K25" s="64"/>
      <c r="L25" s="64"/>
      <c r="M25" s="64"/>
      <c r="N25" s="164" t="s">
        <v>420</v>
      </c>
      <c r="O25" s="164" t="s">
        <v>406</v>
      </c>
      <c r="P25" s="164" t="s">
        <v>427</v>
      </c>
      <c r="Q25" s="164" t="s">
        <v>421</v>
      </c>
      <c r="R25" s="164" t="s">
        <v>423</v>
      </c>
      <c r="S25" s="164" t="s">
        <v>424</v>
      </c>
      <c r="T25" s="164" t="s">
        <v>428</v>
      </c>
      <c r="U25" s="164"/>
      <c r="V25" s="164" t="s">
        <v>423</v>
      </c>
      <c r="W25" s="164" t="s">
        <v>431</v>
      </c>
      <c r="X25" s="164" t="s">
        <v>439</v>
      </c>
      <c r="Y25" s="164" t="s">
        <v>431</v>
      </c>
      <c r="Z25" s="164"/>
    </row>
    <row r="26" spans="1:26" ht="31.8" customHeight="1" thickTop="1" thickBot="1" x14ac:dyDescent="0.35">
      <c r="A26" s="97"/>
      <c r="B26" s="82"/>
      <c r="C26" s="235"/>
      <c r="D26" s="236"/>
      <c r="E26" s="236"/>
      <c r="F26" s="237"/>
      <c r="G26" s="33"/>
      <c r="H26" s="143" t="str">
        <f>INDEX(lang!131:131,1,LNG)</f>
        <v>SAVE</v>
      </c>
      <c r="I26" s="87">
        <v>0</v>
      </c>
      <c r="J26" s="109">
        <v>0</v>
      </c>
      <c r="K26" s="64"/>
      <c r="L26" s="64"/>
      <c r="M26" s="64"/>
      <c r="N26" s="164">
        <f>IF(LEN(C26)&gt;150,LEFT(C26,150),C26)</f>
        <v>0</v>
      </c>
      <c r="O26" s="164" t="b">
        <f>N26=C26</f>
        <v>1</v>
      </c>
      <c r="P26" s="164" t="b">
        <f>ISERROR(MATCH(C26,saves!E:E,0))=FALSE</f>
        <v>0</v>
      </c>
      <c r="Q26" s="164" t="b">
        <f>ISERROR(MATCH(C26,lang!140:140,0))=FALSE</f>
        <v>0</v>
      </c>
      <c r="R26" s="164" t="str">
        <f>INDEX(lang!152:152,1,LNG)</f>
        <v>Sorry, you cannot use this name for your save.</v>
      </c>
      <c r="S26" s="164" t="str">
        <f>INDEX(lang!151:151,1,LNG)</f>
        <v>Forbidden name</v>
      </c>
      <c r="T26" s="164" t="e">
        <f>INDEX(saves!E:E,MATCH('data-saves'!L106,saves!F:F,0))</f>
        <v>#N/A</v>
      </c>
      <c r="U26" s="164" t="b">
        <f>ISERROR(T26)=FALSE</f>
        <v>0</v>
      </c>
      <c r="V26" s="164" t="str">
        <f>INDEX(lang!154:154,1,LNG)</f>
        <v>There already is an identical game setup saved under the name</v>
      </c>
      <c r="W26" s="164" t="str">
        <f>INDEX(lang!153:153,1,LNG)</f>
        <v>Repeated save</v>
      </c>
      <c r="X26" s="164" t="str">
        <f>INDEX(lang!159:159,1,LNG)</f>
        <v>The save data is corrupted and couldn't be loaded. Do you want to delete it?</v>
      </c>
      <c r="Y26" s="164" t="str">
        <f>INDEX(lang!160:160,1,LNG)</f>
        <v>Corrupt save</v>
      </c>
      <c r="Z26" s="164"/>
    </row>
    <row r="27" spans="1:26" ht="15" customHeight="1" thickTop="1" x14ac:dyDescent="0.3">
      <c r="A27" s="97"/>
      <c r="B27" s="82"/>
      <c r="C27" s="33"/>
      <c r="D27" s="33"/>
      <c r="E27" s="33"/>
      <c r="F27" s="33"/>
      <c r="G27" s="33"/>
      <c r="H27" s="33"/>
      <c r="I27" s="87">
        <v>0</v>
      </c>
      <c r="J27" s="109">
        <v>0</v>
      </c>
      <c r="K27" s="64"/>
      <c r="L27" s="64"/>
      <c r="M27" s="64"/>
      <c r="N27" s="164" t="s">
        <v>434</v>
      </c>
      <c r="O27" s="164" t="s">
        <v>435</v>
      </c>
      <c r="P27" s="164"/>
      <c r="Q27" s="164"/>
      <c r="R27" s="164"/>
      <c r="S27" s="164"/>
      <c r="T27" s="164"/>
      <c r="U27" s="164"/>
      <c r="V27" s="164"/>
      <c r="W27" s="164"/>
      <c r="X27" s="164"/>
      <c r="Y27" s="164"/>
      <c r="Z27" s="164"/>
    </row>
    <row r="28" spans="1:26" ht="16.2" thickBot="1" x14ac:dyDescent="0.35">
      <c r="A28" s="97"/>
      <c r="B28" s="82"/>
      <c r="C28" s="92" t="str">
        <f>INDEX(lang!135:135,1,LNG)</f>
        <v>Load a saved game preset</v>
      </c>
      <c r="D28" s="33"/>
      <c r="E28" s="33"/>
      <c r="F28" s="33"/>
      <c r="G28" s="33"/>
      <c r="H28" s="33"/>
      <c r="I28" s="87">
        <v>0</v>
      </c>
      <c r="J28" s="109">
        <v>0</v>
      </c>
      <c r="K28" s="64"/>
      <c r="L28" s="64"/>
      <c r="M28" s="64"/>
      <c r="N28" s="164" t="str">
        <f>INDEX(lang!156:156,1,LNG)</f>
        <v>There already is a saved game setup under this name.</v>
      </c>
      <c r="O28" s="164" t="str">
        <f>INDEX(lang!155:155,1,LNG)</f>
        <v>Repeated name</v>
      </c>
      <c r="P28" s="164"/>
      <c r="Q28" s="164"/>
      <c r="R28" s="164"/>
      <c r="S28" s="164"/>
      <c r="T28" s="164"/>
      <c r="U28" s="164"/>
      <c r="V28" s="164"/>
      <c r="W28" s="164"/>
      <c r="X28" s="164"/>
      <c r="Y28" s="164"/>
      <c r="Z28" s="164"/>
    </row>
    <row r="29" spans="1:26" ht="31.95" customHeight="1" thickTop="1" thickBot="1" x14ac:dyDescent="0.35">
      <c r="A29" s="97"/>
      <c r="B29" s="82"/>
      <c r="C29" s="238" t="s">
        <v>373</v>
      </c>
      <c r="D29" s="236"/>
      <c r="E29" s="236"/>
      <c r="F29" s="237"/>
      <c r="G29" s="33"/>
      <c r="H29" s="69" t="str">
        <f>INDEX(lang!132:132,1,LNG)</f>
        <v>LOAD</v>
      </c>
      <c r="I29" s="87" t="str">
        <f>saves!D1</f>
        <v>'data'!W7</v>
      </c>
      <c r="J29" s="109">
        <v>0</v>
      </c>
      <c r="K29" s="64"/>
      <c r="L29" s="64"/>
      <c r="M29" s="64"/>
      <c r="N29" s="164">
        <f>IFERROR(MATCH(C29,saves!E:E,0),3)</f>
        <v>3</v>
      </c>
      <c r="O29" s="164" t="b">
        <f>ISERROR(N29)</f>
        <v>0</v>
      </c>
      <c r="P29" s="164"/>
      <c r="Q29" s="164"/>
      <c r="R29" s="164"/>
      <c r="S29" s="164"/>
      <c r="T29" s="164"/>
      <c r="U29" s="164"/>
      <c r="V29" s="164"/>
      <c r="W29" s="164"/>
      <c r="X29" s="164"/>
      <c r="Y29" s="164"/>
      <c r="Z29" s="164"/>
    </row>
    <row r="30" spans="1:26" ht="15" customHeight="1" thickTop="1" x14ac:dyDescent="0.3">
      <c r="A30" s="97"/>
      <c r="B30" s="82"/>
      <c r="C30" s="106"/>
      <c r="D30" s="106"/>
      <c r="E30" s="106"/>
      <c r="F30" s="106"/>
      <c r="G30" s="33"/>
      <c r="H30" s="71"/>
      <c r="I30" s="87">
        <v>0</v>
      </c>
      <c r="J30" s="109">
        <v>0</v>
      </c>
      <c r="K30" s="64"/>
      <c r="L30" s="64"/>
      <c r="M30" s="64"/>
      <c r="N30" s="164"/>
      <c r="O30" s="164"/>
      <c r="P30" s="164"/>
      <c r="Q30" s="164"/>
      <c r="R30" s="164"/>
      <c r="S30" s="164"/>
      <c r="T30" s="164"/>
      <c r="U30" s="164"/>
      <c r="V30" s="164"/>
      <c r="W30" s="164"/>
      <c r="X30" s="164"/>
      <c r="Y30" s="164"/>
      <c r="Z30" s="164"/>
    </row>
    <row r="31" spans="1:26" ht="16.2" customHeight="1" thickBot="1" x14ac:dyDescent="0.35">
      <c r="A31" s="97"/>
      <c r="B31" s="82"/>
      <c r="C31" s="107" t="str">
        <f>INDEX(lang!137:137,1,LNG)</f>
        <v>Delete a saved game preset</v>
      </c>
      <c r="D31" s="33"/>
      <c r="E31" s="33"/>
      <c r="F31" s="33"/>
      <c r="G31" s="33"/>
      <c r="H31" s="33"/>
      <c r="I31" s="87">
        <v>0</v>
      </c>
      <c r="J31" s="109">
        <v>0</v>
      </c>
      <c r="K31" s="64"/>
      <c r="L31" s="64"/>
      <c r="M31" s="64"/>
      <c r="N31" s="164"/>
      <c r="O31" s="164"/>
      <c r="P31" s="164"/>
      <c r="Q31" s="164"/>
      <c r="R31" s="164"/>
      <c r="S31" s="164"/>
      <c r="T31" s="164"/>
      <c r="U31" s="164"/>
      <c r="V31" s="164"/>
      <c r="W31" s="164"/>
      <c r="X31" s="164"/>
      <c r="Y31" s="164"/>
      <c r="Z31" s="164"/>
    </row>
    <row r="32" spans="1:26" ht="31.95" customHeight="1" thickTop="1" thickBot="1" x14ac:dyDescent="0.35">
      <c r="A32" s="97"/>
      <c r="B32" s="82"/>
      <c r="C32" s="239" t="s">
        <v>373</v>
      </c>
      <c r="D32" s="239"/>
      <c r="E32" s="239"/>
      <c r="F32" s="239"/>
      <c r="G32" s="33"/>
      <c r="H32" s="108" t="str">
        <f>INDEX(lang!139:139,1,LNG)</f>
        <v>DELETE</v>
      </c>
      <c r="I32" s="87" t="str">
        <f>I29</f>
        <v>'data'!W7</v>
      </c>
      <c r="J32" s="109">
        <v>0</v>
      </c>
      <c r="K32" s="64"/>
      <c r="L32" s="64"/>
      <c r="M32" s="64"/>
      <c r="N32" s="164">
        <f>IFERROR(MATCH(C32,saves!E:E,0),3)</f>
        <v>3</v>
      </c>
      <c r="O32" s="164" t="b">
        <f>ISERROR(N32)</f>
        <v>0</v>
      </c>
      <c r="P32" s="164"/>
      <c r="Q32" s="164"/>
      <c r="R32" s="164"/>
      <c r="S32" s="164"/>
      <c r="T32" s="164"/>
      <c r="U32" s="164"/>
      <c r="V32" s="164"/>
      <c r="W32" s="164"/>
      <c r="X32" s="164"/>
      <c r="Y32" s="164"/>
      <c r="Z32" s="164"/>
    </row>
    <row r="33" spans="1:26" ht="15" customHeight="1" thickTop="1" x14ac:dyDescent="0.3">
      <c r="A33" s="97"/>
      <c r="B33" s="82"/>
      <c r="C33" s="33"/>
      <c r="D33" s="33"/>
      <c r="E33" s="33"/>
      <c r="F33" s="33"/>
      <c r="G33" s="33"/>
      <c r="H33" s="33"/>
      <c r="I33" s="87"/>
      <c r="J33" s="109">
        <v>0</v>
      </c>
      <c r="K33" s="64"/>
      <c r="L33" s="64"/>
      <c r="M33" s="64"/>
      <c r="N33" s="164"/>
      <c r="O33" s="164"/>
      <c r="P33" s="164"/>
      <c r="Q33" s="164"/>
      <c r="R33" s="164"/>
      <c r="S33" s="164"/>
      <c r="T33" s="164"/>
      <c r="U33" s="164"/>
      <c r="V33" s="164"/>
      <c r="W33" s="164"/>
      <c r="X33" s="164"/>
      <c r="Y33" s="164"/>
      <c r="Z33" s="164"/>
    </row>
    <row r="34" spans="1:26" ht="16.2" customHeight="1" thickBot="1" x14ac:dyDescent="0.35">
      <c r="A34" s="97"/>
      <c r="B34" s="82"/>
      <c r="C34" s="92" t="str">
        <f>INDEX(lang!162:162,1,LNG)</f>
        <v>Import a game preset</v>
      </c>
      <c r="D34" s="33"/>
      <c r="E34" s="33"/>
      <c r="F34" s="33"/>
      <c r="G34" s="33"/>
      <c r="H34" s="144"/>
      <c r="I34" s="87"/>
      <c r="J34" s="109">
        <v>0</v>
      </c>
      <c r="K34" s="64"/>
      <c r="L34" s="64"/>
      <c r="M34" s="64"/>
      <c r="N34" s="164"/>
      <c r="O34" s="164"/>
      <c r="P34" s="164"/>
      <c r="Q34" s="164"/>
      <c r="R34" s="164"/>
      <c r="S34" s="164"/>
      <c r="T34" s="164"/>
      <c r="U34" s="164"/>
      <c r="V34" s="164"/>
      <c r="W34" s="164"/>
      <c r="X34" s="164"/>
      <c r="Y34" s="164"/>
      <c r="Z34" s="164"/>
    </row>
    <row r="35" spans="1:26" ht="31.95" customHeight="1" thickTop="1" thickBot="1" x14ac:dyDescent="0.35">
      <c r="A35" s="97"/>
      <c r="B35" s="82"/>
      <c r="C35" s="235"/>
      <c r="D35" s="236"/>
      <c r="E35" s="236"/>
      <c r="F35" s="237"/>
      <c r="G35" s="33"/>
      <c r="H35" s="143" t="str">
        <f>INDEX(lang!164:164,1,LNG)</f>
        <v>IMPORT</v>
      </c>
      <c r="I35" s="87"/>
      <c r="J35" s="109">
        <v>0</v>
      </c>
      <c r="K35" s="64"/>
      <c r="L35" s="64"/>
      <c r="M35" s="64"/>
      <c r="N35" s="164" t="b">
        <f>LEN(C35)&lt;&gt;64</f>
        <v>1</v>
      </c>
      <c r="O35" s="164" t="str">
        <f>INDEX(lang!168:168,1,LNG)</f>
        <v>Invalid data</v>
      </c>
      <c r="P35" s="164" t="str">
        <f>INDEX(lang!171:171,1,LNG)</f>
        <v>Import successful</v>
      </c>
      <c r="Q35" s="164"/>
      <c r="R35" s="164"/>
      <c r="S35" s="164"/>
      <c r="T35" s="164"/>
      <c r="U35" s="164"/>
      <c r="V35" s="164"/>
      <c r="W35" s="164"/>
      <c r="X35" s="164"/>
      <c r="Y35" s="164"/>
      <c r="Z35" s="164"/>
    </row>
    <row r="36" spans="1:26" ht="15" customHeight="1" thickTop="1" x14ac:dyDescent="0.3">
      <c r="A36" s="97"/>
      <c r="B36" s="82"/>
      <c r="C36" s="33"/>
      <c r="D36" s="33"/>
      <c r="E36" s="33"/>
      <c r="F36" s="33"/>
      <c r="G36" s="33"/>
      <c r="H36" s="33"/>
      <c r="I36" s="87"/>
      <c r="J36" s="109">
        <v>0</v>
      </c>
      <c r="K36" s="64"/>
      <c r="L36" s="64"/>
      <c r="M36" s="64"/>
      <c r="N36" s="164"/>
      <c r="O36" s="164" t="str">
        <f>INDEX(lang!170:170,1,LNG)</f>
        <v>The data you are trying to import is not a valid game preset.</v>
      </c>
      <c r="P36" s="164" t="str">
        <f>INDEX(lang!172:172,1,LNG)</f>
        <v>Preset successfully loaded. If you would like to save it in your collection, use the save option.</v>
      </c>
      <c r="Q36" s="164"/>
      <c r="R36" s="164"/>
      <c r="S36" s="164"/>
      <c r="T36" s="164"/>
      <c r="U36" s="164"/>
      <c r="V36" s="164"/>
      <c r="W36" s="164"/>
      <c r="X36" s="164"/>
      <c r="Y36" s="164"/>
      <c r="Z36" s="164"/>
    </row>
    <row r="37" spans="1:26" ht="16.2" customHeight="1" thickBot="1" x14ac:dyDescent="0.35">
      <c r="A37" s="97"/>
      <c r="B37" s="82"/>
      <c r="C37" s="92" t="str">
        <f>INDEX(lang!163:163,1,LNG)</f>
        <v>Export a game preset</v>
      </c>
      <c r="D37" s="33"/>
      <c r="E37" s="33"/>
      <c r="F37" s="33"/>
      <c r="G37" s="33"/>
      <c r="H37" s="33"/>
      <c r="I37" s="87"/>
      <c r="J37" s="109">
        <v>0</v>
      </c>
      <c r="K37" s="64"/>
      <c r="L37" s="64"/>
      <c r="M37" s="64"/>
      <c r="N37" s="164"/>
      <c r="O37" s="164"/>
      <c r="P37" s="164" t="str">
        <f>INDEX(lang!173:173,1,LNG)</f>
        <v>Export successful</v>
      </c>
      <c r="Q37" s="164"/>
      <c r="R37" s="164"/>
      <c r="S37" s="164"/>
      <c r="T37" s="164"/>
      <c r="U37" s="164"/>
      <c r="V37" s="164"/>
      <c r="W37" s="164"/>
      <c r="X37" s="164"/>
      <c r="Y37" s="164"/>
      <c r="Z37" s="164"/>
    </row>
    <row r="38" spans="1:26" ht="31.95" customHeight="1" thickTop="1" thickBot="1" x14ac:dyDescent="0.35">
      <c r="A38" s="97"/>
      <c r="B38" s="82"/>
      <c r="C38" s="238" t="s">
        <v>373</v>
      </c>
      <c r="D38" s="236"/>
      <c r="E38" s="236"/>
      <c r="F38" s="237"/>
      <c r="G38" s="33"/>
      <c r="H38" s="69" t="str">
        <f>INDEX(lang!165:165,1,LNG)</f>
        <v>EXPORT</v>
      </c>
      <c r="I38" s="87" t="str">
        <f>I29</f>
        <v>'data'!W7</v>
      </c>
      <c r="J38" s="109">
        <v>0</v>
      </c>
      <c r="K38" s="64"/>
      <c r="L38" s="64"/>
      <c r="M38" s="64"/>
      <c r="N38" s="164">
        <f>IFERROR(MATCH(C38,saves!E:E,0),3)</f>
        <v>3</v>
      </c>
      <c r="O38" s="164"/>
      <c r="P38" s="164" t="str">
        <f>INDEX(lang!174:174,1,LNG)</f>
        <v>The selected preset was generated into the Import input field.</v>
      </c>
      <c r="Q38" s="164"/>
      <c r="R38" s="164"/>
      <c r="S38" s="164"/>
      <c r="T38" s="164"/>
      <c r="U38" s="164"/>
      <c r="V38" s="164"/>
      <c r="W38" s="164"/>
      <c r="X38" s="164"/>
      <c r="Y38" s="164"/>
      <c r="Z38" s="164"/>
    </row>
    <row r="39" spans="1:26" ht="15.6" thickTop="1" thickBot="1" x14ac:dyDescent="0.35">
      <c r="A39" s="97"/>
      <c r="B39" s="83"/>
      <c r="C39" s="79"/>
      <c r="D39" s="79"/>
      <c r="E39" s="79"/>
      <c r="F39" s="79"/>
      <c r="G39" s="79"/>
      <c r="H39" s="79"/>
      <c r="I39" s="117">
        <v>0</v>
      </c>
      <c r="J39" s="109">
        <v>0</v>
      </c>
      <c r="K39" s="64"/>
      <c r="L39" s="64"/>
      <c r="M39" s="64"/>
      <c r="N39" s="164"/>
      <c r="O39" s="164"/>
      <c r="P39" s="164"/>
      <c r="Q39" s="164"/>
      <c r="R39" s="164"/>
      <c r="S39" s="164"/>
      <c r="T39" s="164"/>
      <c r="U39" s="164"/>
      <c r="V39" s="164"/>
      <c r="W39" s="164"/>
      <c r="X39" s="164"/>
      <c r="Y39" s="164"/>
      <c r="Z39" s="164"/>
    </row>
    <row r="40" spans="1:26" ht="15" thickTop="1" x14ac:dyDescent="0.3">
      <c r="A40" s="100">
        <v>0</v>
      </c>
      <c r="B40" s="98">
        <v>0</v>
      </c>
      <c r="C40" s="98">
        <v>0</v>
      </c>
      <c r="D40" s="98"/>
      <c r="E40" s="98"/>
      <c r="F40" s="98"/>
      <c r="G40" s="98"/>
      <c r="H40" s="98"/>
      <c r="I40" s="98">
        <v>0</v>
      </c>
      <c r="J40" s="100">
        <v>0</v>
      </c>
      <c r="K40" s="64"/>
      <c r="L40" s="64"/>
      <c r="M40" s="64"/>
      <c r="N40" s="164"/>
      <c r="O40" s="164"/>
      <c r="P40" s="164"/>
      <c r="Q40" s="164"/>
      <c r="R40" s="164"/>
      <c r="S40" s="164"/>
      <c r="T40" s="164"/>
      <c r="U40" s="164"/>
      <c r="V40" s="164"/>
      <c r="W40" s="164"/>
      <c r="X40" s="164"/>
      <c r="Y40" s="164"/>
      <c r="Z40" s="164"/>
    </row>
    <row r="41" spans="1:26" x14ac:dyDescent="0.3">
      <c r="A41" s="64"/>
      <c r="B41" s="64"/>
      <c r="C41" s="64"/>
      <c r="D41" s="64"/>
      <c r="E41" s="64"/>
      <c r="F41" s="64"/>
      <c r="G41" s="64"/>
      <c r="H41" s="64"/>
      <c r="I41" s="64"/>
      <c r="J41" s="64"/>
      <c r="K41" s="64"/>
      <c r="L41" s="64"/>
      <c r="M41" s="64"/>
      <c r="N41" s="164"/>
      <c r="O41" s="164"/>
      <c r="P41" s="164"/>
      <c r="Q41" s="164"/>
      <c r="R41" s="164"/>
      <c r="S41" s="164"/>
      <c r="T41" s="164"/>
      <c r="U41" s="164"/>
      <c r="V41" s="164"/>
      <c r="W41" s="164"/>
      <c r="X41" s="164"/>
      <c r="Y41" s="164"/>
      <c r="Z41" s="164"/>
    </row>
    <row r="42" spans="1:26" x14ac:dyDescent="0.3">
      <c r="A42" s="64"/>
      <c r="B42" s="64"/>
      <c r="C42" s="64"/>
      <c r="D42" s="64"/>
      <c r="E42" s="64"/>
      <c r="F42" s="64"/>
      <c r="G42" s="64"/>
      <c r="H42" s="64"/>
      <c r="I42" s="64"/>
      <c r="J42" s="64"/>
      <c r="K42" s="64"/>
      <c r="L42" s="64"/>
      <c r="M42" s="64"/>
      <c r="N42" s="164"/>
      <c r="O42" s="164"/>
      <c r="P42" s="164"/>
      <c r="Q42" s="164"/>
      <c r="R42" s="164"/>
      <c r="S42" s="164"/>
      <c r="T42" s="164"/>
      <c r="U42" s="164"/>
      <c r="V42" s="164"/>
      <c r="W42" s="164"/>
      <c r="X42" s="164"/>
      <c r="Y42" s="164"/>
      <c r="Z42" s="164"/>
    </row>
    <row r="43" spans="1:26" x14ac:dyDescent="0.3">
      <c r="A43" s="64"/>
      <c r="B43" s="64"/>
      <c r="C43" s="64"/>
      <c r="D43" s="64"/>
      <c r="E43" s="64"/>
      <c r="F43" s="64"/>
      <c r="G43" s="64"/>
      <c r="H43" s="64"/>
      <c r="I43" s="64"/>
      <c r="J43" s="64"/>
      <c r="K43" s="64"/>
      <c r="L43" s="64"/>
      <c r="M43" s="64"/>
      <c r="N43" s="164"/>
      <c r="O43" s="164"/>
      <c r="P43" s="164"/>
      <c r="Q43" s="164"/>
      <c r="R43" s="164"/>
      <c r="S43" s="164"/>
      <c r="T43" s="164"/>
      <c r="U43" s="164"/>
      <c r="V43" s="164"/>
      <c r="W43" s="164"/>
      <c r="X43" s="164"/>
      <c r="Y43" s="164"/>
      <c r="Z43" s="164"/>
    </row>
    <row r="44" spans="1:26" x14ac:dyDescent="0.3">
      <c r="A44" s="64"/>
      <c r="B44" s="64"/>
      <c r="C44" s="64"/>
      <c r="D44" s="64"/>
      <c r="E44" s="64"/>
      <c r="F44" s="64"/>
      <c r="G44" s="64"/>
      <c r="H44" s="64"/>
      <c r="I44" s="64"/>
      <c r="J44" s="64"/>
      <c r="K44" s="64"/>
      <c r="L44" s="64"/>
      <c r="M44" s="64"/>
      <c r="N44" s="164"/>
      <c r="O44" s="164"/>
      <c r="P44" s="164"/>
      <c r="Q44" s="164"/>
      <c r="R44" s="164"/>
      <c r="S44" s="164"/>
      <c r="T44" s="164"/>
      <c r="U44" s="164"/>
      <c r="V44" s="164"/>
      <c r="W44" s="164"/>
      <c r="X44" s="164"/>
      <c r="Y44" s="164"/>
      <c r="Z44" s="164"/>
    </row>
    <row r="45" spans="1:26" x14ac:dyDescent="0.3">
      <c r="A45" s="64"/>
      <c r="B45" s="64"/>
      <c r="C45" s="64"/>
      <c r="D45" s="64"/>
      <c r="E45" s="64"/>
      <c r="F45" s="64"/>
      <c r="G45" s="64"/>
      <c r="H45" s="64"/>
      <c r="I45" s="64"/>
      <c r="J45" s="64"/>
      <c r="K45" s="64"/>
      <c r="L45" s="64"/>
      <c r="M45" s="64"/>
      <c r="N45" s="164"/>
      <c r="O45" s="164"/>
      <c r="P45" s="164"/>
      <c r="Q45" s="164"/>
      <c r="R45" s="164"/>
      <c r="S45" s="164"/>
      <c r="T45" s="164"/>
      <c r="U45" s="164"/>
      <c r="V45" s="164"/>
      <c r="W45" s="164"/>
      <c r="X45" s="164"/>
      <c r="Y45" s="164"/>
      <c r="Z45" s="164"/>
    </row>
    <row r="46" spans="1:26" x14ac:dyDescent="0.3">
      <c r="A46" s="64"/>
      <c r="B46" s="64"/>
      <c r="C46" s="64"/>
      <c r="D46" s="64"/>
      <c r="E46" s="64"/>
      <c r="F46" s="64"/>
      <c r="G46" s="64"/>
      <c r="H46" s="64"/>
      <c r="I46" s="64"/>
      <c r="J46" s="64"/>
      <c r="K46" s="64"/>
      <c r="L46" s="64"/>
      <c r="M46" s="64"/>
      <c r="N46" s="164"/>
      <c r="O46" s="164"/>
      <c r="P46" s="164"/>
      <c r="Q46" s="164"/>
      <c r="R46" s="164"/>
      <c r="S46" s="164"/>
      <c r="T46" s="164"/>
      <c r="U46" s="164"/>
      <c r="V46" s="164"/>
      <c r="W46" s="164"/>
      <c r="X46" s="164"/>
      <c r="Y46" s="164"/>
      <c r="Z46" s="164"/>
    </row>
    <row r="47" spans="1:26" x14ac:dyDescent="0.3">
      <c r="A47" s="64"/>
      <c r="B47" s="64"/>
      <c r="C47" s="64"/>
      <c r="D47" s="64"/>
      <c r="E47" s="64"/>
      <c r="F47" s="64"/>
      <c r="G47" s="64"/>
      <c r="H47" s="64"/>
      <c r="I47" s="64"/>
      <c r="J47" s="64"/>
      <c r="K47" s="64"/>
      <c r="L47" s="64"/>
      <c r="M47" s="64"/>
      <c r="N47" s="164"/>
      <c r="O47" s="164"/>
      <c r="P47" s="164"/>
      <c r="Q47" s="164"/>
      <c r="R47" s="164"/>
      <c r="S47" s="164"/>
      <c r="T47" s="164"/>
      <c r="U47" s="164"/>
      <c r="V47" s="164"/>
      <c r="W47" s="164"/>
      <c r="X47" s="164"/>
      <c r="Y47" s="164"/>
      <c r="Z47" s="164"/>
    </row>
    <row r="48" spans="1:26" x14ac:dyDescent="0.3">
      <c r="A48" s="64"/>
      <c r="B48" s="64"/>
      <c r="C48" s="64"/>
      <c r="D48" s="64"/>
      <c r="E48" s="64"/>
      <c r="F48" s="64"/>
      <c r="G48" s="64"/>
      <c r="H48" s="64"/>
      <c r="I48" s="64"/>
      <c r="J48" s="64"/>
      <c r="K48" s="64"/>
      <c r="L48" s="64"/>
      <c r="M48" s="64"/>
      <c r="N48" s="164"/>
      <c r="O48" s="164"/>
      <c r="P48" s="164"/>
      <c r="Q48" s="164"/>
      <c r="R48" s="164"/>
      <c r="S48" s="164"/>
      <c r="T48" s="164"/>
      <c r="U48" s="164"/>
      <c r="V48" s="164"/>
      <c r="W48" s="164"/>
      <c r="X48" s="164"/>
      <c r="Y48" s="164"/>
      <c r="Z48" s="164"/>
    </row>
    <row r="49" spans="1:26" x14ac:dyDescent="0.3">
      <c r="A49" s="64"/>
      <c r="B49" s="64"/>
      <c r="C49" s="64"/>
      <c r="D49" s="64"/>
      <c r="E49" s="64"/>
      <c r="F49" s="64"/>
      <c r="G49" s="64"/>
      <c r="H49" s="64"/>
      <c r="I49" s="64"/>
      <c r="J49" s="64"/>
      <c r="K49" s="64"/>
      <c r="L49" s="64"/>
      <c r="M49" s="64"/>
      <c r="N49" s="164"/>
      <c r="O49" s="164"/>
      <c r="P49" s="164"/>
      <c r="Q49" s="164"/>
      <c r="R49" s="164"/>
      <c r="S49" s="164"/>
      <c r="T49" s="164"/>
      <c r="U49" s="164"/>
      <c r="V49" s="164"/>
      <c r="W49" s="164"/>
      <c r="X49" s="164"/>
      <c r="Y49" s="164"/>
      <c r="Z49" s="164"/>
    </row>
    <row r="50" spans="1:26" x14ac:dyDescent="0.3">
      <c r="A50" s="64"/>
      <c r="B50" s="64"/>
      <c r="C50" s="64"/>
      <c r="D50" s="64"/>
      <c r="E50" s="64"/>
      <c r="F50" s="64"/>
      <c r="G50" s="64"/>
      <c r="H50" s="64"/>
      <c r="I50" s="64"/>
      <c r="J50" s="64"/>
      <c r="K50" s="64"/>
      <c r="L50" s="64"/>
      <c r="M50" s="64"/>
      <c r="N50" s="164"/>
      <c r="O50" s="164"/>
      <c r="P50" s="164"/>
      <c r="Q50" s="164"/>
      <c r="R50" s="164"/>
      <c r="S50" s="164"/>
      <c r="T50" s="164"/>
      <c r="U50" s="164"/>
      <c r="V50" s="164"/>
      <c r="W50" s="164"/>
      <c r="X50" s="164"/>
      <c r="Y50" s="164"/>
      <c r="Z50" s="164"/>
    </row>
    <row r="51" spans="1:26" x14ac:dyDescent="0.3">
      <c r="A51" s="64"/>
      <c r="B51" s="64"/>
      <c r="C51" s="64"/>
      <c r="D51" s="64"/>
      <c r="E51" s="64"/>
      <c r="F51" s="64"/>
      <c r="G51" s="64"/>
      <c r="H51" s="64"/>
      <c r="I51" s="64"/>
      <c r="J51" s="64"/>
      <c r="K51" s="64"/>
      <c r="L51" s="64"/>
      <c r="M51" s="64"/>
      <c r="N51" s="164"/>
      <c r="O51" s="164"/>
      <c r="P51" s="164"/>
      <c r="Q51" s="164"/>
      <c r="R51" s="164"/>
      <c r="S51" s="164"/>
      <c r="T51" s="164"/>
      <c r="U51" s="164"/>
      <c r="V51" s="164"/>
      <c r="W51" s="164"/>
      <c r="X51" s="164"/>
      <c r="Y51" s="164"/>
      <c r="Z51" s="164"/>
    </row>
    <row r="52" spans="1:26" x14ac:dyDescent="0.3">
      <c r="A52" s="64"/>
      <c r="B52" s="64"/>
      <c r="C52" s="64"/>
      <c r="D52" s="64"/>
      <c r="E52" s="64"/>
      <c r="F52" s="64"/>
      <c r="G52" s="64"/>
      <c r="H52" s="64"/>
      <c r="I52" s="64"/>
      <c r="J52" s="64"/>
      <c r="K52" s="64"/>
      <c r="L52" s="64"/>
      <c r="M52" s="64"/>
      <c r="N52" s="164"/>
      <c r="O52" s="164"/>
      <c r="P52" s="164"/>
      <c r="Q52" s="164"/>
      <c r="R52" s="164"/>
      <c r="S52" s="164"/>
      <c r="T52" s="164"/>
      <c r="U52" s="164"/>
      <c r="V52" s="164"/>
      <c r="W52" s="164"/>
      <c r="X52" s="164"/>
      <c r="Y52" s="164"/>
      <c r="Z52" s="164"/>
    </row>
    <row r="53" spans="1:26" x14ac:dyDescent="0.3">
      <c r="A53" s="64"/>
      <c r="B53" s="64"/>
      <c r="C53" s="64"/>
      <c r="D53" s="64"/>
      <c r="E53" s="64"/>
      <c r="F53" s="64"/>
      <c r="G53" s="64"/>
      <c r="H53" s="64"/>
      <c r="I53" s="64"/>
      <c r="J53" s="64"/>
      <c r="K53" s="64"/>
      <c r="L53" s="64"/>
      <c r="M53" s="64"/>
      <c r="N53" s="164"/>
      <c r="O53" s="164"/>
      <c r="P53" s="164"/>
      <c r="Q53" s="164"/>
      <c r="R53" s="164"/>
      <c r="S53" s="164"/>
      <c r="T53" s="164"/>
      <c r="U53" s="164"/>
      <c r="V53" s="164"/>
      <c r="W53" s="164"/>
      <c r="X53" s="164"/>
      <c r="Y53" s="164"/>
      <c r="Z53" s="164"/>
    </row>
    <row r="54" spans="1:26" x14ac:dyDescent="0.3">
      <c r="A54" s="64"/>
      <c r="B54" s="64"/>
      <c r="C54" s="64"/>
      <c r="D54" s="64"/>
      <c r="E54" s="64"/>
      <c r="F54" s="64"/>
      <c r="G54" s="64"/>
      <c r="H54" s="64"/>
      <c r="I54" s="64"/>
      <c r="J54" s="64"/>
      <c r="K54" s="64"/>
      <c r="L54" s="64"/>
      <c r="M54" s="64"/>
      <c r="N54" s="164"/>
      <c r="O54" s="164"/>
      <c r="P54" s="164"/>
      <c r="Q54" s="164"/>
      <c r="R54" s="164"/>
      <c r="S54" s="164"/>
      <c r="T54" s="164"/>
      <c r="U54" s="164"/>
      <c r="V54" s="164"/>
      <c r="W54" s="164"/>
      <c r="X54" s="164"/>
      <c r="Y54" s="164"/>
      <c r="Z54" s="164"/>
    </row>
    <row r="55" spans="1:26" x14ac:dyDescent="0.3">
      <c r="A55" s="64"/>
      <c r="B55" s="64"/>
      <c r="C55" s="64"/>
      <c r="D55" s="64"/>
      <c r="E55" s="64"/>
      <c r="F55" s="64"/>
      <c r="G55" s="64"/>
      <c r="H55" s="64"/>
      <c r="I55" s="64"/>
      <c r="J55" s="64"/>
      <c r="K55" s="64"/>
      <c r="L55" s="64"/>
      <c r="M55" s="64"/>
    </row>
    <row r="56" spans="1:26" x14ac:dyDescent="0.3">
      <c r="A56" s="64"/>
      <c r="B56" s="64"/>
      <c r="C56" s="64"/>
      <c r="D56" s="64"/>
      <c r="E56" s="64"/>
      <c r="F56" s="64"/>
      <c r="G56" s="64"/>
      <c r="H56" s="64"/>
      <c r="I56" s="64"/>
      <c r="J56" s="64"/>
      <c r="K56" s="64"/>
      <c r="L56" s="64"/>
      <c r="M56" s="64"/>
    </row>
    <row r="57" spans="1:26" x14ac:dyDescent="0.3">
      <c r="A57" s="64"/>
      <c r="B57" s="64"/>
      <c r="C57" s="64"/>
      <c r="D57" s="64"/>
      <c r="E57" s="64"/>
      <c r="F57" s="64"/>
      <c r="G57" s="64"/>
      <c r="H57" s="64"/>
      <c r="I57" s="64"/>
      <c r="J57" s="64"/>
      <c r="K57" s="64"/>
      <c r="L57" s="64"/>
      <c r="M57" s="64"/>
    </row>
  </sheetData>
  <mergeCells count="9">
    <mergeCell ref="C5:H5"/>
    <mergeCell ref="C8:H8"/>
    <mergeCell ref="F10:H10"/>
    <mergeCell ref="C35:F35"/>
    <mergeCell ref="C38:F38"/>
    <mergeCell ref="C32:F32"/>
    <mergeCell ref="F12:H12"/>
    <mergeCell ref="C26:F26"/>
    <mergeCell ref="C29:F29"/>
  </mergeCells>
  <conditionalFormatting sqref="H26">
    <cfRule type="expression" dxfId="22" priority="12">
      <formula>OR(C26="",I10=TRUE)</formula>
    </cfRule>
  </conditionalFormatting>
  <conditionalFormatting sqref="F12:H12">
    <cfRule type="expression" dxfId="21" priority="13">
      <formula>F12=""</formula>
    </cfRule>
  </conditionalFormatting>
  <conditionalFormatting sqref="C15:D19">
    <cfRule type="expression" dxfId="20" priority="9">
      <formula>$I$2=FALSE</formula>
    </cfRule>
  </conditionalFormatting>
  <conditionalFormatting sqref="H29">
    <cfRule type="expression" dxfId="19" priority="11">
      <formula>N29=3</formula>
    </cfRule>
  </conditionalFormatting>
  <conditionalFormatting sqref="H32">
    <cfRule type="expression" dxfId="18" priority="10">
      <formula>N32=3</formula>
    </cfRule>
  </conditionalFormatting>
  <conditionalFormatting sqref="H35">
    <cfRule type="expression" dxfId="17" priority="6">
      <formula>C35=""</formula>
    </cfRule>
  </conditionalFormatting>
  <conditionalFormatting sqref="H38">
    <cfRule type="expression" dxfId="16" priority="5">
      <formula>N38=3</formula>
    </cfRule>
  </conditionalFormatting>
  <dataValidations count="1">
    <dataValidation type="list" allowBlank="1" showInputMessage="1" showErrorMessage="1" sqref="C29:F30 C32:F32 C38:F38">
      <formula1>INDIRECT(I29)</formula1>
    </dataValidation>
  </dataValidations>
  <hyperlinks>
    <hyperlink ref="F16" location="Options!A1" display="Options!A1"/>
    <hyperlink ref="F17" location="Options!R26" display="Options!R26"/>
    <hyperlink ref="F18" location="Options!R39" display="Options!R39"/>
    <hyperlink ref="F19" location="Options!R57" display="Options!R57"/>
    <hyperlink ref="F20" location="Options!R75" display="Options!R75"/>
    <hyperlink ref="H20" location="Instructions!C54" tooltip="Help" display="?"/>
    <hyperlink ref="H23" location="Instructions!C44" tooltip="Help" display="?"/>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expression" priority="8" id="{A144C41E-9ACF-43B3-9DD6-B7AEA632FC80}">
            <xm:f>OR(data!$Q$4&gt;0,data!$Q$5&gt;0)</xm:f>
            <x14:dxf>
              <font>
                <color rgb="FFFF0000"/>
              </font>
            </x14:dxf>
          </x14:cfRule>
          <xm:sqref>F17</xm:sqref>
        </x14:conditionalFormatting>
        <x14:conditionalFormatting xmlns:xm="http://schemas.microsoft.com/office/excel/2006/main">
          <x14:cfRule type="expression" priority="4" id="{2FC33713-EB9D-4986-90FE-4DCA60952AA1}">
            <xm:f>OR(data!$Q$4&gt;0,data!$Q$5&gt;0)</xm:f>
            <x14:dxf>
              <font>
                <color rgb="FFFF0000"/>
              </font>
            </x14:dxf>
          </x14:cfRule>
          <xm:sqref>F16</xm:sqref>
        </x14:conditionalFormatting>
        <x14:conditionalFormatting xmlns:xm="http://schemas.microsoft.com/office/excel/2006/main">
          <x14:cfRule type="iconSet" priority="1" id="{9CEB1702-87C4-4F7F-A5B7-1A2ACBCAE701}">
            <x14:iconSet iconSet="3ArrowsGray" custom="1">
              <x14:cfvo type="percent">
                <xm:f>0</xm:f>
              </x14:cfvo>
              <x14:cfvo type="num">
                <xm:f>0</xm:f>
              </x14:cfvo>
              <x14:cfvo type="num">
                <xm:f>1</xm:f>
              </x14:cfvo>
              <x14:cfIcon iconSet="NoIcons" iconId="0"/>
              <x14:cfIcon iconSet="3ArrowsGray" iconId="2"/>
              <x14:cfIcon iconSet="3ArrowsGray" iconId="0"/>
            </x14:iconSet>
          </x14:cfRule>
          <xm:sqref>B12:B13 E12:E13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I104"/>
  <sheetViews>
    <sheetView zoomScaleNormal="100" workbookViewId="0">
      <selection activeCell="D3" sqref="D3:G3"/>
    </sheetView>
  </sheetViews>
  <sheetFormatPr defaultRowHeight="14.4" x14ac:dyDescent="0.3"/>
  <cols>
    <col min="1" max="1" width="3.21875" customWidth="1"/>
    <col min="2" max="2" width="5.88671875" customWidth="1"/>
    <col min="3" max="3" width="27.88671875" customWidth="1"/>
    <col min="4" max="8" width="11.109375" customWidth="1"/>
    <col min="9" max="9" width="2.109375" customWidth="1"/>
    <col min="10" max="10" width="17.109375" customWidth="1"/>
    <col min="11" max="11" width="8.88671875" customWidth="1"/>
    <col min="12" max="12" width="11.109375" customWidth="1"/>
    <col min="13" max="13" width="21.77734375" customWidth="1"/>
    <col min="14" max="14" width="2.109375" customWidth="1"/>
    <col min="15" max="15" width="17.109375" customWidth="1"/>
    <col min="16" max="16" width="8.88671875" customWidth="1"/>
    <col min="17" max="17" width="6.6640625" customWidth="1"/>
    <col min="18" max="18" width="6.44140625" customWidth="1"/>
    <col min="21" max="22" width="153.6640625" customWidth="1"/>
    <col min="31" max="31" width="16" customWidth="1"/>
  </cols>
  <sheetData>
    <row r="1" spans="1:35" ht="15" thickBot="1" x14ac:dyDescent="0.35">
      <c r="A1" s="98">
        <v>4</v>
      </c>
      <c r="B1" s="95"/>
      <c r="C1" s="85"/>
      <c r="D1" s="85"/>
      <c r="E1" s="85"/>
      <c r="F1" s="85"/>
      <c r="G1" s="85"/>
      <c r="H1" s="85"/>
      <c r="I1" s="85"/>
      <c r="J1" s="96"/>
      <c r="K1" s="85"/>
      <c r="L1" s="85"/>
      <c r="M1" s="85"/>
      <c r="N1" s="85"/>
      <c r="O1" s="85"/>
      <c r="P1" s="85"/>
      <c r="Q1" s="95"/>
      <c r="R1" s="119">
        <f>data!R1</f>
        <v>0</v>
      </c>
      <c r="S1" s="98">
        <v>0</v>
      </c>
      <c r="T1" s="64"/>
      <c r="U1" s="64"/>
      <c r="V1" s="64"/>
      <c r="Y1" s="161" t="s">
        <v>370</v>
      </c>
      <c r="Z1" s="161" t="s">
        <v>371</v>
      </c>
      <c r="AA1" s="161" t="s">
        <v>372</v>
      </c>
      <c r="AB1" s="161">
        <v>1</v>
      </c>
    </row>
    <row r="2" spans="1:35" ht="15" thickTop="1" x14ac:dyDescent="0.3">
      <c r="A2" s="97"/>
      <c r="B2" s="82"/>
      <c r="C2" s="33"/>
      <c r="D2" s="33"/>
      <c r="E2" s="33"/>
      <c r="F2" s="33"/>
      <c r="G2" s="33"/>
      <c r="H2" s="33"/>
      <c r="I2" s="33"/>
      <c r="J2" s="72"/>
      <c r="K2" s="33"/>
      <c r="L2" s="33"/>
      <c r="M2" s="33"/>
      <c r="N2" s="33"/>
      <c r="O2" s="33"/>
      <c r="P2" s="33"/>
      <c r="Q2" s="82"/>
      <c r="R2" s="87">
        <v>0</v>
      </c>
      <c r="S2" s="109">
        <v>0</v>
      </c>
      <c r="T2" s="64"/>
      <c r="U2" s="64"/>
      <c r="V2" s="64"/>
      <c r="W2" s="164"/>
      <c r="X2" s="164"/>
      <c r="Y2" s="165"/>
      <c r="Z2" s="165"/>
      <c r="AA2" s="165"/>
      <c r="AB2" s="165"/>
      <c r="AC2" s="164"/>
      <c r="AD2" s="164"/>
      <c r="AE2" s="164"/>
      <c r="AF2" s="164"/>
      <c r="AG2" s="164"/>
      <c r="AH2" s="164"/>
      <c r="AI2" s="164"/>
    </row>
    <row r="3" spans="1:35" ht="21" customHeight="1" x14ac:dyDescent="0.4">
      <c r="A3" s="97"/>
      <c r="B3" s="18"/>
      <c r="C3" s="34" t="str">
        <f>INDEX(lang!122:122,1,LNG)</f>
        <v>Language:</v>
      </c>
      <c r="D3" s="245" t="s">
        <v>156</v>
      </c>
      <c r="E3" s="246"/>
      <c r="F3" s="246"/>
      <c r="G3" s="247"/>
      <c r="H3" s="33"/>
      <c r="I3" s="33"/>
      <c r="J3" s="70"/>
      <c r="K3" s="33"/>
      <c r="L3" s="33"/>
      <c r="M3" s="33"/>
      <c r="N3" s="33"/>
      <c r="O3" s="33"/>
      <c r="P3" s="33"/>
      <c r="Q3" s="82"/>
      <c r="R3" s="118" t="str">
        <f>data!Q58</f>
        <v>'data'!R59:R60</v>
      </c>
      <c r="S3" s="109">
        <v>0</v>
      </c>
      <c r="T3" s="64"/>
      <c r="U3" s="64"/>
      <c r="V3" s="64"/>
      <c r="W3" s="164"/>
      <c r="X3" s="164"/>
      <c r="Y3" s="165"/>
      <c r="Z3" s="165"/>
      <c r="AA3" s="165"/>
      <c r="AB3" s="165"/>
      <c r="AC3" s="164"/>
      <c r="AD3" s="164"/>
      <c r="AE3" s="164"/>
      <c r="AF3" s="164"/>
      <c r="AG3" s="164"/>
      <c r="AH3" s="164"/>
      <c r="AI3" s="164"/>
    </row>
    <row r="4" spans="1:35" ht="15" thickBot="1" x14ac:dyDescent="0.35">
      <c r="A4" s="97"/>
      <c r="B4" s="83"/>
      <c r="C4" s="80"/>
      <c r="D4" s="79"/>
      <c r="E4" s="79"/>
      <c r="F4" s="80"/>
      <c r="G4" s="79"/>
      <c r="H4" s="80"/>
      <c r="I4" s="79"/>
      <c r="J4" s="81"/>
      <c r="K4" s="79"/>
      <c r="L4" s="79"/>
      <c r="M4" s="79"/>
      <c r="N4" s="79"/>
      <c r="O4" s="79"/>
      <c r="P4" s="79"/>
      <c r="Q4" s="83"/>
      <c r="R4" s="117">
        <v>0</v>
      </c>
      <c r="S4" s="109">
        <v>0</v>
      </c>
      <c r="T4" s="64"/>
      <c r="U4" s="64"/>
      <c r="V4" s="64"/>
      <c r="W4" s="164"/>
      <c r="X4" s="164"/>
      <c r="Y4" s="166" t="s">
        <v>130</v>
      </c>
      <c r="Z4" s="165" t="str">
        <f>data!W4</f>
        <v>yes</v>
      </c>
      <c r="AA4" s="165" t="str">
        <f>data!Y4</f>
        <v>yes</v>
      </c>
      <c r="AB4" s="165"/>
      <c r="AC4" s="164"/>
      <c r="AD4" s="164"/>
      <c r="AE4" s="164"/>
      <c r="AF4" s="164"/>
      <c r="AG4" s="164"/>
      <c r="AH4" s="164"/>
      <c r="AI4" s="164"/>
    </row>
    <row r="5" spans="1:35" ht="15.6" thickTop="1" thickBot="1" x14ac:dyDescent="0.35">
      <c r="A5" s="97"/>
      <c r="B5" s="82"/>
      <c r="C5" s="33"/>
      <c r="D5" s="33"/>
      <c r="E5" s="33"/>
      <c r="F5" s="33"/>
      <c r="G5" s="33"/>
      <c r="H5" s="33"/>
      <c r="I5" s="33"/>
      <c r="J5" s="72"/>
      <c r="K5" s="33"/>
      <c r="L5" s="33"/>
      <c r="M5" s="33"/>
      <c r="N5" s="33"/>
      <c r="O5" s="33"/>
      <c r="P5" s="33"/>
      <c r="Q5" s="82"/>
      <c r="R5" s="87">
        <v>0</v>
      </c>
      <c r="S5" s="109">
        <v>0</v>
      </c>
      <c r="T5" s="64"/>
      <c r="U5" s="64"/>
      <c r="V5" s="64"/>
      <c r="W5" s="164"/>
      <c r="X5" s="164"/>
      <c r="Y5" s="166" t="s">
        <v>131</v>
      </c>
      <c r="Z5" s="165" t="str">
        <f>data!W5</f>
        <v>no</v>
      </c>
      <c r="AA5" s="165" t="str">
        <f>data!Y5</f>
        <v>no</v>
      </c>
      <c r="AB5" s="165"/>
      <c r="AC5" s="164"/>
      <c r="AD5" s="164"/>
      <c r="AE5" s="164"/>
      <c r="AF5" s="164"/>
      <c r="AG5" s="164"/>
      <c r="AH5" s="164"/>
      <c r="AI5" s="164"/>
    </row>
    <row r="6" spans="1:35" ht="21" customHeight="1" thickTop="1" thickBot="1" x14ac:dyDescent="0.45">
      <c r="A6" s="97"/>
      <c r="B6" s="82"/>
      <c r="C6" s="48" t="str">
        <f>INDEX(lang!98:98,1,LNG)</f>
        <v>Boards options</v>
      </c>
      <c r="D6" s="33"/>
      <c r="E6" s="33"/>
      <c r="F6" s="33"/>
      <c r="G6" s="33"/>
      <c r="H6" s="33"/>
      <c r="I6" s="33"/>
      <c r="J6" s="115"/>
      <c r="K6" s="115"/>
      <c r="L6" s="115"/>
      <c r="M6" s="115"/>
      <c r="N6" s="115"/>
      <c r="O6" s="115"/>
      <c r="P6" s="115"/>
      <c r="Q6" s="167" t="s">
        <v>681</v>
      </c>
      <c r="R6" s="87">
        <v>0</v>
      </c>
      <c r="S6" s="109">
        <v>0</v>
      </c>
      <c r="T6" s="64"/>
      <c r="U6" s="64"/>
      <c r="V6" s="64"/>
      <c r="W6" s="164"/>
      <c r="X6" s="164"/>
      <c r="Y6" s="166"/>
      <c r="Z6" s="165"/>
      <c r="AA6" s="165"/>
      <c r="AB6" s="165"/>
      <c r="AC6" s="164"/>
      <c r="AD6" s="164"/>
      <c r="AE6" s="164"/>
      <c r="AF6" s="164"/>
      <c r="AG6" s="164"/>
      <c r="AH6" s="164"/>
      <c r="AI6" s="164"/>
    </row>
    <row r="7" spans="1:35" ht="45" customHeight="1" thickTop="1" x14ac:dyDescent="0.3">
      <c r="A7" s="97"/>
      <c r="B7" s="82"/>
      <c r="C7" s="248" t="str">
        <f>INDEX(lang!102:102,1,LNG)</f>
        <v>Setting an exact number forces "random" to "no" and vice versa.
Don't use ENTER to confirm the exact number, as this will trigger the "random" cell.
Use CTRL+ENTER or click on an empty cell instead.</v>
      </c>
      <c r="D7" s="248"/>
      <c r="E7" s="248"/>
      <c r="F7" s="248"/>
      <c r="G7" s="248"/>
      <c r="H7" s="248"/>
      <c r="I7" s="62"/>
      <c r="J7" s="70"/>
      <c r="K7" s="33"/>
      <c r="L7" s="75" t="str">
        <f>INDEX(lang!115:115,1,LNG)</f>
        <v>Force the usage of these boards:</v>
      </c>
      <c r="M7" s="33"/>
      <c r="N7" s="33"/>
      <c r="O7" s="33"/>
      <c r="P7" s="33"/>
      <c r="Q7" s="82"/>
      <c r="R7" s="87">
        <v>0</v>
      </c>
      <c r="S7" s="109">
        <v>0</v>
      </c>
      <c r="T7" s="64"/>
      <c r="U7" s="64"/>
      <c r="V7" s="64"/>
      <c r="W7" s="164"/>
      <c r="X7" s="164"/>
      <c r="Y7" s="166" t="s">
        <v>128</v>
      </c>
      <c r="Z7" s="165" t="str">
        <f>data!W7</f>
        <v>none</v>
      </c>
      <c r="AA7" s="165" t="str">
        <f>data!Y7</f>
        <v>none</v>
      </c>
      <c r="AB7" s="165"/>
      <c r="AC7" s="164"/>
      <c r="AD7" s="164"/>
      <c r="AE7" s="164"/>
      <c r="AF7" s="164"/>
      <c r="AG7" s="164"/>
      <c r="AH7" s="164"/>
      <c r="AI7" s="164"/>
    </row>
    <row r="8" spans="1:35" ht="15" thickBot="1" x14ac:dyDescent="0.35">
      <c r="A8" s="97"/>
      <c r="B8" s="82"/>
      <c r="C8" s="78" t="str">
        <f>INDEX(lang!103:103,1,LNG)&amp;":"</f>
        <v>Set:</v>
      </c>
      <c r="D8" s="77" t="str">
        <f>data!A3</f>
        <v>Base</v>
      </c>
      <c r="E8" s="77" t="str">
        <f>data!A4</f>
        <v>Nomads</v>
      </c>
      <c r="F8" s="77" t="str">
        <f>data!A5</f>
        <v>Crossroads</v>
      </c>
      <c r="G8" s="77" t="str">
        <f>data!A6</f>
        <v>Marshlands</v>
      </c>
      <c r="H8" s="77" t="str">
        <f>data!A7</f>
        <v>Harvest</v>
      </c>
      <c r="I8" s="73"/>
      <c r="J8" s="70"/>
      <c r="K8" s="33"/>
      <c r="L8" s="76" t="str">
        <f>INDEX(lang!103:103,1,LNG)</f>
        <v>Set</v>
      </c>
      <c r="M8" s="76" t="str">
        <f>INDEX(lang!104:104,1,LNG)</f>
        <v>Board</v>
      </c>
      <c r="N8" s="33"/>
      <c r="O8" s="33"/>
      <c r="P8" s="33"/>
      <c r="Q8" s="82"/>
      <c r="R8" s="87">
        <v>0</v>
      </c>
      <c r="S8" s="109">
        <v>0</v>
      </c>
      <c r="T8" s="64"/>
      <c r="U8" s="64"/>
      <c r="V8" s="64"/>
      <c r="W8" s="164"/>
      <c r="X8" s="164"/>
      <c r="Y8" s="165"/>
      <c r="Z8" s="165"/>
      <c r="AA8" s="165"/>
      <c r="AB8" s="165"/>
      <c r="AC8" s="164"/>
      <c r="AD8" s="164"/>
      <c r="AE8" s="164"/>
      <c r="AF8" s="164"/>
      <c r="AG8" s="164"/>
      <c r="AH8" s="164"/>
      <c r="AI8" s="164"/>
    </row>
    <row r="9" spans="1:35" ht="31.95" customHeight="1" thickTop="1" thickBot="1" x14ac:dyDescent="0.35">
      <c r="A9" s="97"/>
      <c r="B9" s="82"/>
      <c r="C9" s="90" t="str">
        <f>INDEX(lang!106:106,1,LNG)&amp;":"</f>
        <v>Use exactly this many boards:</v>
      </c>
      <c r="D9" s="153">
        <v>0</v>
      </c>
      <c r="E9" s="153">
        <v>0</v>
      </c>
      <c r="F9" s="153">
        <v>0</v>
      </c>
      <c r="G9" s="153">
        <v>0</v>
      </c>
      <c r="H9" s="153">
        <v>0</v>
      </c>
      <c r="I9" s="74"/>
      <c r="J9" s="69" t="str">
        <f>INDEX(lang!110:110,1,LNG)</f>
        <v>CLEAR</v>
      </c>
      <c r="K9" s="40"/>
      <c r="L9" s="154" t="s">
        <v>128</v>
      </c>
      <c r="M9" s="154" t="s">
        <v>128</v>
      </c>
      <c r="N9" s="33"/>
      <c r="O9" s="69" t="str">
        <f>INDEX(lang!110:110,1,LNG)</f>
        <v>CLEAR</v>
      </c>
      <c r="P9" s="33"/>
      <c r="Q9" s="87">
        <v>1</v>
      </c>
      <c r="R9" s="87" t="str">
        <f>IFERROR(INDEX(data!$AB$3:$AE$7,MATCH(L9,data!$AA$3:$AA$7,0),Q9),data!$L$2)</f>
        <v>'data'!A2</v>
      </c>
      <c r="S9" s="109">
        <v>0</v>
      </c>
      <c r="T9" s="64"/>
      <c r="U9" s="64"/>
      <c r="V9" s="64"/>
      <c r="W9" s="164"/>
      <c r="X9" s="164"/>
      <c r="Y9" s="165" t="s">
        <v>375</v>
      </c>
      <c r="Z9" s="165" t="str">
        <f ca="1">IFERROR(INDEX(lang!$5:$9,MATCH(L9,INDIRECT("'lang'!r5c"&amp;TEXT($AB$1,"0")&amp;":r9c"&amp;TEXT($AB$1,"0"),FALSE),0),LNG),$Z$7)</f>
        <v>none</v>
      </c>
      <c r="AA9" s="165" t="str">
        <f ca="1">IFERROR(INDEX(lang!$11:$34,MATCH(M9,INDIRECT("'lang'!r11c"&amp;TEXT($AB$1,"0")&amp;":r34c"&amp;TEXT($AB$1,"0"),FALSE),0),LNG),$Z$7)</f>
        <v>none</v>
      </c>
      <c r="AB9" s="165"/>
      <c r="AC9" s="164"/>
      <c r="AD9" s="164"/>
      <c r="AE9" s="164"/>
      <c r="AF9" s="164"/>
      <c r="AG9" s="164"/>
      <c r="AH9" s="164"/>
      <c r="AI9" s="164"/>
    </row>
    <row r="10" spans="1:35" ht="31.95" customHeight="1" thickTop="1" thickBot="1" x14ac:dyDescent="0.35">
      <c r="A10" s="97"/>
      <c r="B10" s="82"/>
      <c r="C10" s="90" t="str">
        <f>INDEX(lang!107:107,1,LNG)</f>
        <v>Use random boards?</v>
      </c>
      <c r="D10" s="153" t="s">
        <v>130</v>
      </c>
      <c r="E10" s="153" t="s">
        <v>131</v>
      </c>
      <c r="F10" s="153" t="s">
        <v>131</v>
      </c>
      <c r="G10" s="153" t="s">
        <v>131</v>
      </c>
      <c r="H10" s="153" t="s">
        <v>131</v>
      </c>
      <c r="I10" s="74"/>
      <c r="J10" s="69" t="str">
        <f>INDEX(lang!112:112,1,LNG)</f>
        <v>SET ALL TO NO</v>
      </c>
      <c r="K10" s="40"/>
      <c r="L10" s="154" t="s">
        <v>128</v>
      </c>
      <c r="M10" s="154" t="s">
        <v>128</v>
      </c>
      <c r="N10" s="33"/>
      <c r="O10" s="69" t="str">
        <f>INDEX(lang!110:110,1,LNG)</f>
        <v>CLEAR</v>
      </c>
      <c r="P10" s="33"/>
      <c r="Q10" s="87">
        <v>2</v>
      </c>
      <c r="R10" s="87" t="str">
        <f>IFERROR(INDEX(data!$AB$3:$AE$7,MATCH(L10,data!$AA$3:$AA$7,0),Q10),data!$L$2)</f>
        <v>'data'!A2</v>
      </c>
      <c r="S10" s="109">
        <v>0</v>
      </c>
      <c r="T10" s="64"/>
      <c r="U10" s="64"/>
      <c r="V10" s="64"/>
      <c r="W10" s="164"/>
      <c r="X10" s="164"/>
      <c r="Y10" s="165" t="s">
        <v>376</v>
      </c>
      <c r="Z10" s="165" t="str">
        <f ca="1">IFERROR(INDEX(lang!$5:$9,MATCH(L10,INDIRECT("'lang'!r5c"&amp;TEXT($AB$1,"0")&amp;":r9c"&amp;TEXT($AB$1,"0"),FALSE),0),LNG),$Z$7)</f>
        <v>none</v>
      </c>
      <c r="AA10" s="165" t="str">
        <f ca="1">IFERROR(INDEX(lang!$11:$34,MATCH(M10,INDIRECT("'lang'!r11c"&amp;TEXT($AB$1,"0")&amp;":r34c"&amp;TEXT($AB$1,"0"),FALSE),0),LNG),$Z$7)</f>
        <v>none</v>
      </c>
      <c r="AB10" s="165"/>
      <c r="AC10" s="164"/>
      <c r="AD10" s="164"/>
      <c r="AE10" s="164"/>
      <c r="AF10" s="164"/>
      <c r="AG10" s="164"/>
      <c r="AH10" s="164"/>
      <c r="AI10" s="164"/>
    </row>
    <row r="11" spans="1:35" ht="31.95" customHeight="1" thickTop="1" thickBot="1" x14ac:dyDescent="0.35">
      <c r="A11" s="97"/>
      <c r="B11" s="82"/>
      <c r="C11" s="33"/>
      <c r="D11" s="33"/>
      <c r="E11" s="33"/>
      <c r="F11" s="33"/>
      <c r="G11" s="33"/>
      <c r="H11" s="33"/>
      <c r="I11" s="33"/>
      <c r="J11" s="69" t="str">
        <f>INDEX(lang!113:113,1,LNG)</f>
        <v>SET ALL TO YES</v>
      </c>
      <c r="K11" s="33"/>
      <c r="L11" s="154" t="s">
        <v>128</v>
      </c>
      <c r="M11" s="154" t="s">
        <v>128</v>
      </c>
      <c r="N11" s="33"/>
      <c r="O11" s="69" t="str">
        <f>INDEX(lang!110:110,1,LNG)</f>
        <v>CLEAR</v>
      </c>
      <c r="P11" s="33"/>
      <c r="Q11" s="87">
        <v>3</v>
      </c>
      <c r="R11" s="87" t="str">
        <f>IFERROR(INDEX(data!$AB$3:$AE$7,MATCH(L11,data!$AA$3:$AA$7,0),Q11),data!$L$2)</f>
        <v>'data'!A2</v>
      </c>
      <c r="S11" s="109">
        <v>0</v>
      </c>
      <c r="T11" s="64"/>
      <c r="U11" s="64"/>
      <c r="V11" s="64"/>
      <c r="W11" s="164"/>
      <c r="X11" s="164"/>
      <c r="Y11" s="165" t="s">
        <v>377</v>
      </c>
      <c r="Z11" s="165" t="str">
        <f ca="1">IFERROR(INDEX(lang!$5:$9,MATCH(L11,INDIRECT("'lang'!r5c"&amp;TEXT($AB$1,"0")&amp;":r9c"&amp;TEXT($AB$1,"0"),FALSE),0),LNG),$Z$7)</f>
        <v>none</v>
      </c>
      <c r="AA11" s="165" t="str">
        <f ca="1">IFERROR(INDEX(lang!$11:$34,MATCH(M11,INDIRECT("'lang'!r11c"&amp;TEXT($AB$1,"0")&amp;":r34c"&amp;TEXT($AB$1,"0"),FALSE),0),LNG),$Z$7)</f>
        <v>none</v>
      </c>
      <c r="AB11" s="165"/>
      <c r="AC11" s="164"/>
      <c r="AD11" s="164"/>
      <c r="AE11" s="164"/>
      <c r="AF11" s="164"/>
      <c r="AG11" s="164"/>
      <c r="AH11" s="164"/>
      <c r="AI11" s="164"/>
    </row>
    <row r="12" spans="1:35" ht="31.95" customHeight="1" thickTop="1" thickBot="1" x14ac:dyDescent="0.35">
      <c r="A12" s="97"/>
      <c r="B12" s="82"/>
      <c r="C12" s="249" t="str">
        <f>INDEX(lang!114:114,1,LNG)</f>
        <v>Nomads: provide randomized nomad locations?</v>
      </c>
      <c r="D12" s="250"/>
      <c r="E12" s="251"/>
      <c r="F12" s="153" t="s">
        <v>130</v>
      </c>
      <c r="G12" s="33"/>
      <c r="H12" s="33"/>
      <c r="I12" s="33"/>
      <c r="J12" s="71"/>
      <c r="K12" s="33"/>
      <c r="L12" s="154" t="s">
        <v>128</v>
      </c>
      <c r="M12" s="154" t="s">
        <v>128</v>
      </c>
      <c r="N12" s="33"/>
      <c r="O12" s="69" t="str">
        <f>INDEX(lang!110:110,1,LNG)</f>
        <v>CLEAR</v>
      </c>
      <c r="P12" s="33"/>
      <c r="Q12" s="87">
        <v>4</v>
      </c>
      <c r="R12" s="87" t="str">
        <f>IFERROR(INDEX(data!$AB$3:$AE$7,MATCH(L12,data!$AA$3:$AA$7,0),Q12),data!$L$2)</f>
        <v>'data'!A2</v>
      </c>
      <c r="S12" s="109">
        <v>0</v>
      </c>
      <c r="T12" s="64"/>
      <c r="U12" s="64"/>
      <c r="V12" s="64"/>
      <c r="W12" s="164"/>
      <c r="X12" s="164"/>
      <c r="Y12" s="165" t="s">
        <v>378</v>
      </c>
      <c r="Z12" s="165" t="str">
        <f ca="1">IFERROR(INDEX(lang!$5:$9,MATCH(L12,INDIRECT("'lang'!r5c"&amp;TEXT($AB$1,"0")&amp;":r9c"&amp;TEXT($AB$1,"0"),FALSE),0),LNG),$Z$7)</f>
        <v>none</v>
      </c>
      <c r="AA12" s="165" t="str">
        <f ca="1">IFERROR(INDEX(lang!$11:$34,MATCH(M12,INDIRECT("'lang'!r11c"&amp;TEXT($AB$1,"0")&amp;":r34c"&amp;TEXT($AB$1,"0"),FALSE),0),LNG),$Z$7)</f>
        <v>none</v>
      </c>
      <c r="AB12" s="165"/>
      <c r="AC12" s="164"/>
      <c r="AD12" s="164"/>
      <c r="AE12" s="164"/>
      <c r="AF12" s="164"/>
      <c r="AG12" s="164"/>
      <c r="AH12" s="164"/>
      <c r="AI12" s="164"/>
    </row>
    <row r="13" spans="1:35" ht="31.95" customHeight="1" thickTop="1" thickBot="1" x14ac:dyDescent="0.35">
      <c r="A13" s="97"/>
      <c r="B13" s="82"/>
      <c r="C13" s="33"/>
      <c r="D13" s="33"/>
      <c r="E13" s="33"/>
      <c r="F13" s="33"/>
      <c r="G13" s="33"/>
      <c r="H13" s="33"/>
      <c r="I13" s="33"/>
      <c r="J13" s="71"/>
      <c r="K13" s="33"/>
      <c r="L13" s="33"/>
      <c r="M13" s="33"/>
      <c r="N13" s="33"/>
      <c r="O13" s="69" t="str">
        <f>INDEX(lang!111:111,1,LNG)</f>
        <v>CLEAR ALL</v>
      </c>
      <c r="P13" s="33"/>
      <c r="Q13" s="82"/>
      <c r="R13" s="87">
        <v>0</v>
      </c>
      <c r="S13" s="109">
        <v>0</v>
      </c>
      <c r="T13" s="64"/>
      <c r="U13" s="64"/>
      <c r="V13" s="64"/>
      <c r="W13" s="164"/>
      <c r="X13" s="164"/>
      <c r="Y13" s="164"/>
      <c r="Z13" s="164"/>
      <c r="AA13" s="164"/>
      <c r="AB13" s="164"/>
      <c r="AC13" s="164"/>
      <c r="AD13" s="164"/>
      <c r="AE13" s="164"/>
      <c r="AF13" s="164"/>
      <c r="AG13" s="164"/>
      <c r="AH13" s="164"/>
      <c r="AI13" s="164"/>
    </row>
    <row r="14" spans="1:35" ht="15.6" thickTop="1" thickBot="1" x14ac:dyDescent="0.35">
      <c r="A14" s="97"/>
      <c r="B14" s="83"/>
      <c r="C14" s="80"/>
      <c r="D14" s="79"/>
      <c r="E14" s="79"/>
      <c r="F14" s="80"/>
      <c r="G14" s="79"/>
      <c r="H14" s="80"/>
      <c r="I14" s="79"/>
      <c r="J14" s="81"/>
      <c r="K14" s="79"/>
      <c r="L14" s="79"/>
      <c r="M14" s="79"/>
      <c r="N14" s="79"/>
      <c r="O14" s="79"/>
      <c r="P14" s="79"/>
      <c r="Q14" s="83"/>
      <c r="R14" s="117" t="str">
        <f>C6</f>
        <v>Boards options</v>
      </c>
      <c r="S14" s="109">
        <v>0</v>
      </c>
      <c r="T14" s="64"/>
      <c r="U14" s="64"/>
      <c r="V14" s="64"/>
      <c r="W14" s="164"/>
      <c r="X14" s="164"/>
      <c r="Y14" s="164"/>
      <c r="Z14" s="164"/>
      <c r="AA14" s="164"/>
      <c r="AB14" s="164"/>
      <c r="AC14" s="164"/>
      <c r="AD14" s="164"/>
      <c r="AE14" s="164"/>
      <c r="AF14" s="164"/>
      <c r="AG14" s="164"/>
      <c r="AH14" s="164"/>
      <c r="AI14" s="164"/>
    </row>
    <row r="15" spans="1:35" ht="15.6" thickTop="1" thickBot="1" x14ac:dyDescent="0.35">
      <c r="A15" s="97"/>
      <c r="B15" s="82"/>
      <c r="C15" s="33"/>
      <c r="D15" s="33"/>
      <c r="E15" s="33"/>
      <c r="F15" s="33"/>
      <c r="G15" s="33"/>
      <c r="H15" s="33"/>
      <c r="I15" s="33"/>
      <c r="J15" s="72"/>
      <c r="K15" s="33"/>
      <c r="L15" s="33"/>
      <c r="M15" s="33"/>
      <c r="N15" s="33"/>
      <c r="O15" s="33"/>
      <c r="P15" s="33"/>
      <c r="Q15" s="82"/>
      <c r="R15" s="87">
        <v>0</v>
      </c>
      <c r="S15" s="109">
        <v>0</v>
      </c>
      <c r="T15" s="64"/>
      <c r="U15" s="64"/>
      <c r="V15" s="64"/>
      <c r="W15" s="164"/>
      <c r="X15" s="164"/>
      <c r="Y15" s="164"/>
      <c r="Z15" s="164"/>
      <c r="AA15" s="164"/>
      <c r="AB15" s="164"/>
      <c r="AC15" s="164"/>
      <c r="AD15" s="164"/>
      <c r="AE15" s="164"/>
      <c r="AF15" s="164"/>
      <c r="AG15" s="164"/>
      <c r="AH15" s="164"/>
      <c r="AI15" s="164"/>
    </row>
    <row r="16" spans="1:35" ht="21" customHeight="1" thickTop="1" thickBot="1" x14ac:dyDescent="0.45">
      <c r="A16" s="97"/>
      <c r="B16" s="82"/>
      <c r="C16" s="48" t="str">
        <f>INDEX(lang!99:99,1,LNG)</f>
        <v>Kingdom Builder cards options</v>
      </c>
      <c r="D16" s="33"/>
      <c r="E16" s="33"/>
      <c r="F16" s="33"/>
      <c r="G16" s="33"/>
      <c r="H16" s="33"/>
      <c r="I16" s="33"/>
      <c r="J16" s="72"/>
      <c r="K16" s="33"/>
      <c r="L16" s="33"/>
      <c r="M16" s="33"/>
      <c r="N16" s="33"/>
      <c r="O16" s="33"/>
      <c r="P16" s="33"/>
      <c r="Q16" s="167" t="s">
        <v>681</v>
      </c>
      <c r="R16" s="87">
        <v>0</v>
      </c>
      <c r="S16" s="109">
        <v>0</v>
      </c>
      <c r="T16" s="64"/>
      <c r="U16" s="64"/>
      <c r="V16" s="64"/>
      <c r="W16" s="164"/>
      <c r="X16" s="164"/>
      <c r="Y16" s="164"/>
      <c r="Z16" s="164"/>
      <c r="AA16" s="164"/>
      <c r="AB16" s="164"/>
      <c r="AC16" s="164"/>
      <c r="AD16" s="164"/>
      <c r="AE16" s="164"/>
      <c r="AF16" s="164"/>
      <c r="AG16" s="164"/>
      <c r="AH16" s="164"/>
      <c r="AI16" s="164"/>
    </row>
    <row r="17" spans="1:35" ht="15" thickTop="1" x14ac:dyDescent="0.3">
      <c r="A17" s="97"/>
      <c r="B17" s="82"/>
      <c r="C17" s="33"/>
      <c r="D17" s="33"/>
      <c r="E17" s="33"/>
      <c r="F17" s="33"/>
      <c r="G17" s="33"/>
      <c r="H17" s="33"/>
      <c r="I17" s="33"/>
      <c r="J17" s="72"/>
      <c r="K17" s="33"/>
      <c r="L17" s="33"/>
      <c r="M17" s="33"/>
      <c r="N17" s="33"/>
      <c r="O17" s="33"/>
      <c r="P17" s="33"/>
      <c r="Q17" s="82"/>
      <c r="R17" s="87">
        <v>0</v>
      </c>
      <c r="S17" s="109">
        <v>0</v>
      </c>
      <c r="T17" s="64"/>
      <c r="U17" s="64"/>
      <c r="V17" s="64"/>
      <c r="W17" s="164"/>
      <c r="X17" s="164"/>
      <c r="Y17" s="164"/>
      <c r="Z17" s="164"/>
      <c r="AA17" s="164"/>
      <c r="AB17" s="164"/>
      <c r="AC17" s="164"/>
      <c r="AD17" s="164"/>
      <c r="AE17" s="164"/>
      <c r="AF17" s="164"/>
      <c r="AG17" s="164"/>
      <c r="AH17" s="164"/>
      <c r="AI17" s="164"/>
    </row>
    <row r="18" spans="1:35" ht="31.95" customHeight="1" x14ac:dyDescent="0.3">
      <c r="A18" s="97"/>
      <c r="B18" s="82"/>
      <c r="C18" s="244" t="str">
        <f>INDEX(lang!116:116,1,LNG)</f>
        <v>Use Kingdom Builder cards based on the chosen boards?</v>
      </c>
      <c r="D18" s="244"/>
      <c r="E18" s="244"/>
      <c r="F18" s="153" t="s">
        <v>130</v>
      </c>
      <c r="G18" s="33"/>
      <c r="H18" s="33"/>
      <c r="I18" s="33"/>
      <c r="J18" s="72"/>
      <c r="K18" s="33"/>
      <c r="L18" s="33"/>
      <c r="M18" s="33"/>
      <c r="N18" s="33"/>
      <c r="O18" s="33"/>
      <c r="P18" s="33"/>
      <c r="Q18" s="82"/>
      <c r="R18" s="87">
        <v>0</v>
      </c>
      <c r="S18" s="109">
        <v>0</v>
      </c>
      <c r="T18" s="64"/>
      <c r="U18" s="64"/>
      <c r="V18" s="64"/>
      <c r="W18" s="164"/>
      <c r="X18" s="164"/>
      <c r="Y18" s="164"/>
      <c r="Z18" s="164"/>
      <c r="AA18" s="164"/>
      <c r="AB18" s="164"/>
      <c r="AC18" s="164"/>
      <c r="AD18" s="164"/>
      <c r="AE18" s="164"/>
      <c r="AF18" s="164"/>
      <c r="AG18" s="164"/>
      <c r="AH18" s="164"/>
      <c r="AI18" s="164"/>
    </row>
    <row r="19" spans="1:35" hidden="1" x14ac:dyDescent="0.3">
      <c r="A19" s="97"/>
      <c r="B19" s="82"/>
      <c r="C19" s="33"/>
      <c r="D19" s="33"/>
      <c r="E19" s="33"/>
      <c r="F19" s="33"/>
      <c r="G19" s="33"/>
      <c r="H19" s="33"/>
      <c r="I19" s="33"/>
      <c r="J19" s="72"/>
      <c r="K19" s="33"/>
      <c r="L19" s="33"/>
      <c r="M19" s="33"/>
      <c r="N19" s="33"/>
      <c r="O19" s="33"/>
      <c r="P19" s="33"/>
      <c r="Q19" s="82"/>
      <c r="R19" s="87">
        <v>0</v>
      </c>
      <c r="S19" s="109">
        <v>0</v>
      </c>
      <c r="T19" s="64"/>
      <c r="U19" s="64"/>
      <c r="V19" s="64"/>
      <c r="W19" s="164"/>
      <c r="X19" s="164"/>
      <c r="Y19" s="164"/>
      <c r="Z19" s="164"/>
      <c r="AA19" s="164"/>
      <c r="AB19" s="164"/>
      <c r="AC19" s="164"/>
      <c r="AD19" s="164"/>
      <c r="AE19" s="164"/>
      <c r="AF19" s="164"/>
      <c r="AG19" s="164"/>
      <c r="AH19" s="164"/>
      <c r="AI19" s="164"/>
    </row>
    <row r="20" spans="1:35" ht="45" hidden="1" customHeight="1" x14ac:dyDescent="0.3">
      <c r="A20" s="97"/>
      <c r="B20" s="82"/>
      <c r="C20" s="248" t="str">
        <f>C7</f>
        <v>Setting an exact number forces "random" to "no" and vice versa.
Don't use ENTER to confirm the exact number, as this will trigger the "random" cell.
Use CTRL+ENTER or click on an empty cell instead.</v>
      </c>
      <c r="D20" s="248"/>
      <c r="E20" s="248"/>
      <c r="F20" s="248"/>
      <c r="G20" s="248"/>
      <c r="H20" s="248"/>
      <c r="I20" s="62"/>
      <c r="J20" s="70"/>
      <c r="K20" s="33"/>
      <c r="L20" s="75" t="str">
        <f>INDEX(lang!119:119,1,LNG)</f>
        <v>Force the usage of these cards:</v>
      </c>
      <c r="M20" s="33"/>
      <c r="N20" s="33"/>
      <c r="O20" s="33"/>
      <c r="P20" s="33"/>
      <c r="Q20" s="82"/>
      <c r="R20" s="87">
        <v>0</v>
      </c>
      <c r="S20" s="109">
        <v>0</v>
      </c>
      <c r="T20" s="64"/>
      <c r="U20" s="64"/>
      <c r="V20" s="64"/>
      <c r="W20" s="164"/>
      <c r="X20" s="164"/>
      <c r="Y20" s="164"/>
      <c r="Z20" s="164"/>
      <c r="AA20" s="164"/>
      <c r="AB20" s="164"/>
      <c r="AC20" s="164"/>
      <c r="AD20" s="164"/>
      <c r="AE20" s="164"/>
      <c r="AF20" s="164"/>
      <c r="AG20" s="164"/>
      <c r="AH20" s="164"/>
      <c r="AI20" s="164"/>
    </row>
    <row r="21" spans="1:35" ht="15" hidden="1" thickBot="1" x14ac:dyDescent="0.35">
      <c r="A21" s="97"/>
      <c r="B21" s="82"/>
      <c r="C21" s="78" t="str">
        <f>C8</f>
        <v>Set:</v>
      </c>
      <c r="D21" s="88" t="str">
        <f>D8</f>
        <v>Base</v>
      </c>
      <c r="E21" s="77" t="str">
        <f>E8</f>
        <v>Nomads</v>
      </c>
      <c r="F21" s="89" t="str">
        <f>F8</f>
        <v>Crossroads</v>
      </c>
      <c r="G21" s="77" t="str">
        <f>G8</f>
        <v>Marshlands</v>
      </c>
      <c r="H21" s="77" t="str">
        <f>H8</f>
        <v>Harvest</v>
      </c>
      <c r="I21" s="73"/>
      <c r="J21" s="70"/>
      <c r="K21" s="33"/>
      <c r="L21" s="76" t="str">
        <f>INDEX(lang!103:103,1,LNG)</f>
        <v>Set</v>
      </c>
      <c r="M21" s="76" t="str">
        <f>INDEX(lang!105:105,1,LNG)</f>
        <v>Card</v>
      </c>
      <c r="N21" s="33"/>
      <c r="O21" s="70"/>
      <c r="P21" s="33"/>
      <c r="Q21" s="82"/>
      <c r="R21" s="87">
        <v>0</v>
      </c>
      <c r="S21" s="109">
        <v>0</v>
      </c>
      <c r="T21" s="64"/>
      <c r="U21" s="64"/>
      <c r="V21" s="64"/>
      <c r="W21" s="164"/>
      <c r="X21" s="164"/>
      <c r="Y21" s="164"/>
      <c r="Z21" s="164"/>
      <c r="AA21" s="164"/>
      <c r="AB21" s="164"/>
      <c r="AC21" s="164"/>
      <c r="AD21" s="164"/>
      <c r="AE21" s="164"/>
      <c r="AF21" s="164"/>
      <c r="AG21" s="164"/>
      <c r="AH21" s="164"/>
      <c r="AI21" s="164"/>
    </row>
    <row r="22" spans="1:35" ht="31.95" hidden="1" customHeight="1" thickTop="1" thickBot="1" x14ac:dyDescent="0.35">
      <c r="A22" s="97"/>
      <c r="B22" s="84"/>
      <c r="C22" s="90" t="str">
        <f>INDEX(lang!117:117,1,LNG)&amp;":"</f>
        <v>Use exactly this many cards:</v>
      </c>
      <c r="D22" s="157">
        <v>0</v>
      </c>
      <c r="E22" s="157">
        <v>0</v>
      </c>
      <c r="F22" s="160">
        <v>0</v>
      </c>
      <c r="G22" s="153">
        <v>0</v>
      </c>
      <c r="H22" s="153">
        <v>0</v>
      </c>
      <c r="I22" s="74"/>
      <c r="J22" s="69" t="str">
        <f>INDEX(lang!110:110,1,LNG)</f>
        <v>CLEAR</v>
      </c>
      <c r="K22" s="40"/>
      <c r="L22" s="154" t="s">
        <v>128</v>
      </c>
      <c r="M22" s="154" t="s">
        <v>128</v>
      </c>
      <c r="N22" s="33"/>
      <c r="O22" s="69" t="str">
        <f>INDEX(lang!110:110,1,LNG)</f>
        <v>CLEAR</v>
      </c>
      <c r="P22" s="33"/>
      <c r="Q22" s="87">
        <v>1</v>
      </c>
      <c r="R22" s="87" t="str">
        <f>IFERROR(INDEX(data!$AB$8:$AE$11,MATCH(L22,data!$AA$8:$AA$11,0),Q22),data!$L$2)</f>
        <v>'data'!A2</v>
      </c>
      <c r="S22" s="109">
        <v>0</v>
      </c>
      <c r="T22" s="64"/>
      <c r="U22" s="64"/>
      <c r="V22" s="64"/>
      <c r="W22" s="164"/>
      <c r="X22" s="164"/>
      <c r="Y22" s="165" t="s">
        <v>379</v>
      </c>
      <c r="Z22" s="165" t="str">
        <f ca="1">IFERROR(INDEX(lang!$5:$9,MATCH(L22,INDIRECT("'lang'!r5c"&amp;TEXT($AB$1,"0")&amp;":r9c"&amp;TEXT($AB$1,"0"),FALSE),0),LNG),$Z$7)</f>
        <v>none</v>
      </c>
      <c r="AA22" s="165" t="str">
        <f ca="1">IFERROR(INDEX(lang!$36:$60,MATCH(M22,INDIRECT("'lang'!r36c"&amp;TEXT($AB$1,"0")&amp;":r60c"&amp;TEXT($AB$1,"0"),FALSE),0),LNG),$Z$7)</f>
        <v>none</v>
      </c>
      <c r="AB22" s="164"/>
      <c r="AC22" s="164"/>
      <c r="AD22" s="164"/>
      <c r="AE22" s="164"/>
      <c r="AF22" s="164"/>
      <c r="AG22" s="164"/>
      <c r="AH22" s="164"/>
      <c r="AI22" s="164"/>
    </row>
    <row r="23" spans="1:35" ht="31.95" hidden="1" customHeight="1" thickTop="1" thickBot="1" x14ac:dyDescent="0.35">
      <c r="A23" s="97"/>
      <c r="B23" s="84"/>
      <c r="C23" s="90" t="str">
        <f>INDEX(lang!118:118,1,LNG)</f>
        <v>Use random cards?</v>
      </c>
      <c r="D23" s="158" t="s">
        <v>131</v>
      </c>
      <c r="E23" s="153" t="s">
        <v>131</v>
      </c>
      <c r="F23" s="160" t="s">
        <v>131</v>
      </c>
      <c r="G23" s="153" t="s">
        <v>131</v>
      </c>
      <c r="H23" s="153" t="s">
        <v>131</v>
      </c>
      <c r="I23" s="74"/>
      <c r="J23" s="69" t="str">
        <f>INDEX(lang!112:112,1,LNG)</f>
        <v>SET ALL TO NO</v>
      </c>
      <c r="K23" s="40"/>
      <c r="L23" s="154" t="s">
        <v>128</v>
      </c>
      <c r="M23" s="154" t="s">
        <v>128</v>
      </c>
      <c r="N23" s="33"/>
      <c r="O23" s="69" t="str">
        <f>INDEX(lang!110:110,1,LNG)</f>
        <v>CLEAR</v>
      </c>
      <c r="P23" s="33"/>
      <c r="Q23" s="87">
        <v>2</v>
      </c>
      <c r="R23" s="87" t="str">
        <f>IFERROR(INDEX(data!$AB$8:$AE$11,MATCH(L23,data!$AA$8:$AA$11,0),Q23),data!$L$2)</f>
        <v>'data'!A2</v>
      </c>
      <c r="S23" s="109">
        <v>0</v>
      </c>
      <c r="T23" s="64"/>
      <c r="U23" s="64"/>
      <c r="V23" s="64"/>
      <c r="W23" s="164"/>
      <c r="X23" s="164"/>
      <c r="Y23" s="165" t="s">
        <v>380</v>
      </c>
      <c r="Z23" s="165" t="str">
        <f ca="1">IFERROR(INDEX(lang!$5:$9,MATCH(L23,INDIRECT("'lang'!r5c"&amp;TEXT($AB$1,"0")&amp;":r9c"&amp;TEXT($AB$1,"0"),FALSE),0),LNG),$Z$7)</f>
        <v>none</v>
      </c>
      <c r="AA23" s="165" t="str">
        <f ca="1">IFERROR(INDEX(lang!$36:$60,MATCH(M23,INDIRECT("'lang'!r36c"&amp;TEXT($AB$1,"0")&amp;":r60c"&amp;TEXT($AB$1,"0"),FALSE),0),LNG),$Z$7)</f>
        <v>none</v>
      </c>
      <c r="AB23" s="164"/>
      <c r="AC23" s="164"/>
      <c r="AD23" s="164"/>
      <c r="AE23" s="164"/>
      <c r="AF23" s="164"/>
      <c r="AG23" s="164"/>
      <c r="AH23" s="164"/>
      <c r="AI23" s="164"/>
    </row>
    <row r="24" spans="1:35" ht="31.95" hidden="1" customHeight="1" thickTop="1" thickBot="1" x14ac:dyDescent="0.35">
      <c r="A24" s="97"/>
      <c r="B24" s="82"/>
      <c r="C24" s="33"/>
      <c r="D24" s="33"/>
      <c r="E24" s="33"/>
      <c r="F24" s="33"/>
      <c r="G24" s="33"/>
      <c r="H24" s="33"/>
      <c r="I24" s="33"/>
      <c r="J24" s="69" t="str">
        <f>INDEX(lang!113:113,1,LNG)</f>
        <v>SET ALL TO YES</v>
      </c>
      <c r="K24" s="33"/>
      <c r="L24" s="154" t="s">
        <v>128</v>
      </c>
      <c r="M24" s="154" t="s">
        <v>128</v>
      </c>
      <c r="N24" s="33"/>
      <c r="O24" s="69" t="str">
        <f>INDEX(lang!110:110,1,LNG)</f>
        <v>CLEAR</v>
      </c>
      <c r="P24" s="33"/>
      <c r="Q24" s="87">
        <v>3</v>
      </c>
      <c r="R24" s="87" t="str">
        <f>IFERROR(INDEX(data!$AB$8:$AE$11,MATCH(L24,data!$AA$8:$AA$11,0),Q24),data!$L$2)</f>
        <v>'data'!A2</v>
      </c>
      <c r="S24" s="109">
        <v>0</v>
      </c>
      <c r="T24" s="64"/>
      <c r="U24" s="64"/>
      <c r="V24" s="64"/>
      <c r="W24" s="164"/>
      <c r="X24" s="164"/>
      <c r="Y24" s="165" t="s">
        <v>381</v>
      </c>
      <c r="Z24" s="165" t="str">
        <f ca="1">IFERROR(INDEX(lang!$5:$9,MATCH(L24,INDIRECT("'lang'!r5c"&amp;TEXT($AB$1,"0")&amp;":r9c"&amp;TEXT($AB$1,"0"),FALSE),0),LNG),$Z$7)</f>
        <v>none</v>
      </c>
      <c r="AA24" s="165" t="str">
        <f ca="1">IFERROR(INDEX(lang!$36:$60,MATCH(M24,INDIRECT("'lang'!r36c"&amp;TEXT($AB$1,"0")&amp;":r60c"&amp;TEXT($AB$1,"0"),FALSE),0),LNG),$Z$7)</f>
        <v>none</v>
      </c>
      <c r="AB24" s="164"/>
      <c r="AC24" s="164"/>
      <c r="AD24" s="164"/>
      <c r="AE24" s="164"/>
      <c r="AF24" s="164"/>
      <c r="AG24" s="164"/>
      <c r="AH24" s="164"/>
      <c r="AI24" s="164"/>
    </row>
    <row r="25" spans="1:35" ht="31.95" hidden="1" customHeight="1" thickTop="1" thickBot="1" x14ac:dyDescent="0.35">
      <c r="A25" s="97"/>
      <c r="B25" s="82"/>
      <c r="D25" s="33"/>
      <c r="E25" s="33"/>
      <c r="F25" s="33"/>
      <c r="G25" s="33"/>
      <c r="I25" s="33"/>
      <c r="J25" s="70"/>
      <c r="K25" s="33"/>
      <c r="L25" s="35"/>
      <c r="M25" s="35"/>
      <c r="N25" s="33"/>
      <c r="O25" s="69" t="str">
        <f>INDEX(lang!111:111,1,LNG)</f>
        <v>CLEAR ALL</v>
      </c>
      <c r="P25" s="33"/>
      <c r="Q25" s="82"/>
      <c r="R25" s="87">
        <v>0</v>
      </c>
      <c r="S25" s="109">
        <v>0</v>
      </c>
      <c r="T25" s="64"/>
      <c r="U25" s="64"/>
      <c r="V25" s="64"/>
      <c r="W25" s="164"/>
      <c r="X25" s="164"/>
      <c r="Y25" s="165"/>
      <c r="Z25" s="165"/>
      <c r="AA25" s="165"/>
      <c r="AB25" s="164"/>
      <c r="AC25" s="164"/>
      <c r="AD25" s="164"/>
      <c r="AE25" s="164"/>
      <c r="AF25" s="164"/>
      <c r="AG25" s="164"/>
      <c r="AH25" s="164"/>
      <c r="AI25" s="164"/>
    </row>
    <row r="26" spans="1:35" ht="15" thickBot="1" x14ac:dyDescent="0.35">
      <c r="A26" s="97"/>
      <c r="B26" s="83"/>
      <c r="C26" s="79"/>
      <c r="D26" s="79"/>
      <c r="E26" s="79"/>
      <c r="F26" s="80"/>
      <c r="G26" s="79"/>
      <c r="H26" s="79"/>
      <c r="I26" s="79"/>
      <c r="J26" s="81"/>
      <c r="K26" s="79"/>
      <c r="L26" s="79"/>
      <c r="M26" s="79"/>
      <c r="N26" s="79"/>
      <c r="O26" s="79"/>
      <c r="P26" s="79"/>
      <c r="Q26" s="83"/>
      <c r="R26" s="117" t="str">
        <f>C16</f>
        <v>Kingdom Builder cards options</v>
      </c>
      <c r="S26" s="109">
        <v>0</v>
      </c>
      <c r="T26" s="64"/>
      <c r="U26" s="64"/>
      <c r="V26" s="64"/>
      <c r="W26" s="164"/>
      <c r="X26" s="164"/>
      <c r="Y26" s="165"/>
      <c r="Z26" s="165"/>
      <c r="AA26" s="165"/>
      <c r="AB26" s="164"/>
      <c r="AC26" s="164"/>
      <c r="AD26" s="164"/>
      <c r="AE26" s="164"/>
      <c r="AF26" s="164"/>
      <c r="AG26" s="164"/>
      <c r="AH26" s="164"/>
      <c r="AI26" s="164"/>
    </row>
    <row r="27" spans="1:35" ht="15.6" thickTop="1" thickBot="1" x14ac:dyDescent="0.35">
      <c r="A27" s="97"/>
      <c r="B27" s="82"/>
      <c r="C27" s="33"/>
      <c r="D27" s="33"/>
      <c r="E27" s="33"/>
      <c r="F27" s="33"/>
      <c r="G27" s="33"/>
      <c r="H27" s="33"/>
      <c r="I27" s="33"/>
      <c r="J27" s="72"/>
      <c r="K27" s="33"/>
      <c r="L27" s="33"/>
      <c r="M27" s="33"/>
      <c r="N27" s="33"/>
      <c r="O27" s="33"/>
      <c r="P27" s="33"/>
      <c r="Q27" s="82"/>
      <c r="R27" s="87">
        <v>0</v>
      </c>
      <c r="S27" s="109">
        <v>0</v>
      </c>
      <c r="T27" s="64"/>
      <c r="U27" s="64"/>
      <c r="V27" s="64"/>
      <c r="W27" s="164"/>
      <c r="X27" s="164"/>
      <c r="Y27" s="165"/>
      <c r="Z27" s="165"/>
      <c r="AA27" s="165"/>
      <c r="AB27" s="164"/>
      <c r="AC27" s="164"/>
      <c r="AD27" s="164"/>
      <c r="AE27" s="164"/>
      <c r="AF27" s="164"/>
      <c r="AG27" s="164"/>
      <c r="AH27" s="164"/>
      <c r="AI27" s="164"/>
    </row>
    <row r="28" spans="1:35" ht="21" customHeight="1" thickTop="1" thickBot="1" x14ac:dyDescent="0.45">
      <c r="A28" s="97"/>
      <c r="B28" s="82"/>
      <c r="C28" s="48" t="str">
        <f>INDEX(lang!100:100,1,LNG)</f>
        <v>Task cards options</v>
      </c>
      <c r="D28" s="33"/>
      <c r="E28" s="33"/>
      <c r="F28" s="33"/>
      <c r="G28" s="33"/>
      <c r="H28" s="33"/>
      <c r="I28" s="33"/>
      <c r="J28" s="72"/>
      <c r="K28" s="33"/>
      <c r="L28" s="33"/>
      <c r="M28" s="33"/>
      <c r="N28" s="33"/>
      <c r="O28" s="33"/>
      <c r="P28" s="33"/>
      <c r="Q28" s="167" t="s">
        <v>681</v>
      </c>
      <c r="R28" s="87">
        <v>0</v>
      </c>
      <c r="S28" s="109">
        <v>0</v>
      </c>
      <c r="T28" s="64"/>
      <c r="U28" s="64"/>
      <c r="V28" s="64"/>
      <c r="W28" s="164"/>
      <c r="X28" s="164"/>
      <c r="Y28" s="165"/>
      <c r="Z28" s="165"/>
      <c r="AA28" s="165"/>
      <c r="AB28" s="164"/>
      <c r="AC28" s="164"/>
      <c r="AD28" s="164"/>
      <c r="AE28" s="164"/>
      <c r="AF28" s="164"/>
      <c r="AG28" s="164"/>
      <c r="AH28" s="164"/>
      <c r="AI28" s="164"/>
    </row>
    <row r="29" spans="1:35" ht="15" thickTop="1" x14ac:dyDescent="0.3">
      <c r="A29" s="97"/>
      <c r="B29" s="82"/>
      <c r="C29" s="33"/>
      <c r="D29" s="33"/>
      <c r="E29" s="33"/>
      <c r="F29" s="33"/>
      <c r="G29" s="33"/>
      <c r="H29" s="33"/>
      <c r="I29" s="33"/>
      <c r="J29" s="72"/>
      <c r="K29" s="33"/>
      <c r="L29" s="33"/>
      <c r="M29" s="33"/>
      <c r="N29" s="33"/>
      <c r="O29" s="33"/>
      <c r="P29" s="33"/>
      <c r="Q29" s="82"/>
      <c r="R29" s="87">
        <v>0</v>
      </c>
      <c r="S29" s="109">
        <v>0</v>
      </c>
      <c r="T29" s="64"/>
      <c r="U29" s="64"/>
      <c r="V29" s="64"/>
      <c r="W29" s="164"/>
      <c r="X29" s="164"/>
      <c r="Y29" s="165"/>
      <c r="Z29" s="165"/>
      <c r="AA29" s="165"/>
      <c r="AB29" s="164"/>
      <c r="AC29" s="164"/>
      <c r="AD29" s="164"/>
      <c r="AE29" s="164"/>
      <c r="AF29" s="164"/>
      <c r="AG29" s="164"/>
      <c r="AH29" s="164"/>
      <c r="AI29" s="164"/>
    </row>
    <row r="30" spans="1:35" ht="31.95" customHeight="1" x14ac:dyDescent="0.3">
      <c r="A30" s="97"/>
      <c r="B30" s="82"/>
      <c r="C30" s="244" t="str">
        <f>INDEX(lang!120:120,1,LNG)</f>
        <v>Use task cards based on the chosen boards?</v>
      </c>
      <c r="D30" s="244"/>
      <c r="E30" s="244"/>
      <c r="F30" s="153" t="s">
        <v>130</v>
      </c>
      <c r="G30" s="33"/>
      <c r="H30" s="33"/>
      <c r="I30" s="33"/>
      <c r="J30" s="72"/>
      <c r="K30" s="33"/>
      <c r="L30" s="27"/>
      <c r="M30" s="33"/>
      <c r="N30" s="33"/>
      <c r="O30" s="33"/>
      <c r="P30" s="33"/>
      <c r="Q30" s="82"/>
      <c r="R30" s="87">
        <v>0</v>
      </c>
      <c r="S30" s="109">
        <v>0</v>
      </c>
      <c r="T30" s="64"/>
      <c r="U30" s="64"/>
      <c r="V30" s="64"/>
      <c r="W30" s="164"/>
      <c r="X30" s="164"/>
      <c r="Y30" s="165"/>
      <c r="Z30" s="165"/>
      <c r="AA30" s="165"/>
      <c r="AB30" s="164"/>
      <c r="AC30" s="164"/>
      <c r="AD30" s="164"/>
      <c r="AE30" s="164"/>
      <c r="AF30" s="164"/>
      <c r="AG30" s="164"/>
      <c r="AH30" s="164"/>
      <c r="AI30" s="164"/>
    </row>
    <row r="31" spans="1:35" ht="15.6" hidden="1" x14ac:dyDescent="0.3">
      <c r="A31" s="97"/>
      <c r="B31" s="82"/>
      <c r="C31" s="33"/>
      <c r="D31" s="33"/>
      <c r="E31" s="33"/>
      <c r="F31" s="33"/>
      <c r="G31" s="33"/>
      <c r="H31" s="33"/>
      <c r="I31" s="33"/>
      <c r="J31" s="70"/>
      <c r="K31" s="33"/>
      <c r="L31" s="92" t="str">
        <f>L20</f>
        <v>Force the usage of these cards:</v>
      </c>
      <c r="M31" s="91"/>
      <c r="N31" s="91"/>
      <c r="O31" s="91"/>
      <c r="P31" s="33"/>
      <c r="Q31" s="82"/>
      <c r="R31" s="87">
        <v>0</v>
      </c>
      <c r="S31" s="109">
        <v>0</v>
      </c>
      <c r="T31" s="64"/>
      <c r="U31" s="64"/>
      <c r="V31" s="64"/>
      <c r="W31" s="164"/>
      <c r="X31" s="164"/>
      <c r="Y31" s="165"/>
      <c r="Z31" s="165"/>
      <c r="AA31" s="165"/>
      <c r="AB31" s="164"/>
      <c r="AC31" s="164"/>
      <c r="AD31" s="164"/>
      <c r="AE31" s="164"/>
      <c r="AF31" s="164"/>
      <c r="AG31" s="164"/>
      <c r="AH31" s="164"/>
      <c r="AI31" s="164"/>
    </row>
    <row r="32" spans="1:35" ht="31.95" hidden="1" customHeight="1" x14ac:dyDescent="0.3">
      <c r="A32" s="97"/>
      <c r="B32" s="82"/>
      <c r="C32" s="249" t="str">
        <f>INDEX(lang!121:121,1,LNG)&amp;":"</f>
        <v>Use exactly this many task cards:</v>
      </c>
      <c r="D32" s="250"/>
      <c r="E32" s="251"/>
      <c r="F32" s="153">
        <v>0</v>
      </c>
      <c r="G32" s="33"/>
      <c r="H32" s="33"/>
      <c r="I32" s="33"/>
      <c r="J32" s="70"/>
      <c r="K32" s="33"/>
      <c r="L32" s="261" t="str">
        <f>INDEX(lang!127:127,1,LNG)</f>
        <v>If an exact number was chosen to be used, these will be among that number (and will potentially exceed it).</v>
      </c>
      <c r="M32" s="261"/>
      <c r="N32" s="261"/>
      <c r="O32" s="261"/>
      <c r="P32" s="261"/>
      <c r="Q32" s="261"/>
      <c r="R32" s="87">
        <v>0</v>
      </c>
      <c r="S32" s="109">
        <v>0</v>
      </c>
      <c r="T32" s="64"/>
      <c r="U32" s="64"/>
      <c r="V32" s="64"/>
      <c r="W32" s="164"/>
      <c r="X32" s="164"/>
      <c r="Y32" s="165"/>
      <c r="Z32" s="165"/>
      <c r="AA32" s="165"/>
      <c r="AB32" s="164"/>
      <c r="AC32" s="164"/>
      <c r="AD32" s="164"/>
      <c r="AE32" s="164"/>
      <c r="AF32" s="164"/>
      <c r="AG32" s="164"/>
      <c r="AH32" s="164"/>
      <c r="AI32" s="164"/>
    </row>
    <row r="33" spans="1:35" ht="15" hidden="1" thickBot="1" x14ac:dyDescent="0.35">
      <c r="A33" s="97"/>
      <c r="B33" s="82"/>
      <c r="C33" s="33"/>
      <c r="D33" s="33"/>
      <c r="E33" s="33"/>
      <c r="F33" s="33"/>
      <c r="G33" s="33"/>
      <c r="H33" s="33"/>
      <c r="I33" s="33"/>
      <c r="J33" s="70"/>
      <c r="K33" s="33"/>
      <c r="L33" s="254" t="str">
        <f>INDEX(lang!123:123,1,LNG)</f>
        <v>Task</v>
      </c>
      <c r="M33" s="255"/>
      <c r="N33" s="33"/>
      <c r="O33" s="33"/>
      <c r="P33" s="33"/>
      <c r="Q33" s="82"/>
      <c r="R33" s="87">
        <v>0</v>
      </c>
      <c r="S33" s="109">
        <v>0</v>
      </c>
      <c r="T33" s="64"/>
      <c r="U33" s="64"/>
      <c r="V33" s="64"/>
      <c r="W33" s="164"/>
      <c r="X33" s="164"/>
      <c r="Y33" s="165"/>
      <c r="Z33" s="165"/>
      <c r="AA33" s="165"/>
      <c r="AB33" s="164"/>
      <c r="AC33" s="164"/>
      <c r="AD33" s="164"/>
      <c r="AE33" s="164"/>
      <c r="AF33" s="164"/>
      <c r="AG33" s="164"/>
      <c r="AH33" s="164"/>
      <c r="AI33" s="164"/>
    </row>
    <row r="34" spans="1:35" ht="31.95" hidden="1" customHeight="1" thickTop="1" thickBot="1" x14ac:dyDescent="0.35">
      <c r="A34" s="97"/>
      <c r="B34" s="82"/>
      <c r="C34" s="33"/>
      <c r="D34" s="33"/>
      <c r="E34" s="33"/>
      <c r="F34" s="33"/>
      <c r="G34" s="33"/>
      <c r="H34" s="33"/>
      <c r="I34" s="33"/>
      <c r="J34" s="70"/>
      <c r="K34" s="33"/>
      <c r="L34" s="256" t="s">
        <v>128</v>
      </c>
      <c r="M34" s="256"/>
      <c r="N34" s="33"/>
      <c r="O34" s="69" t="str">
        <f>INDEX(lang!110:110,1,LNG)</f>
        <v>CLEAR</v>
      </c>
      <c r="P34" s="33"/>
      <c r="Q34" s="87">
        <v>1</v>
      </c>
      <c r="R34" s="87" t="str">
        <f>data!AB12</f>
        <v>'data'!Y134:Y139</v>
      </c>
      <c r="S34" s="109">
        <v>0</v>
      </c>
      <c r="T34" s="64"/>
      <c r="U34" s="64"/>
      <c r="V34" s="64"/>
      <c r="W34" s="164"/>
      <c r="X34" s="164"/>
      <c r="Y34" s="165" t="s">
        <v>382</v>
      </c>
      <c r="Z34" s="165" t="str">
        <f ca="1">IFERROR(INDEX(lang!$89:$94,MATCH(L34,INDIRECT("'lang'!r89c"&amp;TEXT($AB$1,"0")&amp;":r94c"&amp;TEXT($AB$1,"0"),FALSE),0),LNG),$Z$7)</f>
        <v>none</v>
      </c>
      <c r="AA34" s="165"/>
      <c r="AB34" s="164"/>
      <c r="AC34" s="164"/>
      <c r="AD34" s="164"/>
      <c r="AE34" s="164"/>
      <c r="AF34" s="164"/>
      <c r="AG34" s="164"/>
      <c r="AH34" s="164"/>
      <c r="AI34" s="164"/>
    </row>
    <row r="35" spans="1:35" ht="31.95" hidden="1" customHeight="1" thickTop="1" thickBot="1" x14ac:dyDescent="0.35">
      <c r="A35" s="97"/>
      <c r="B35" s="82"/>
      <c r="C35" s="33"/>
      <c r="D35" s="33"/>
      <c r="E35" s="33"/>
      <c r="F35" s="33"/>
      <c r="G35" s="33"/>
      <c r="H35" s="33"/>
      <c r="I35" s="33"/>
      <c r="J35" s="70"/>
      <c r="K35" s="33"/>
      <c r="L35" s="256" t="s">
        <v>128</v>
      </c>
      <c r="M35" s="256"/>
      <c r="N35" s="33"/>
      <c r="O35" s="69" t="str">
        <f>INDEX(lang!110:110,1,LNG)</f>
        <v>CLEAR</v>
      </c>
      <c r="P35" s="33"/>
      <c r="Q35" s="87">
        <v>2</v>
      </c>
      <c r="R35" s="87" t="str">
        <f>data!AC12</f>
        <v>'data'!AA134:AA139</v>
      </c>
      <c r="S35" s="109">
        <v>0</v>
      </c>
      <c r="T35" s="64"/>
      <c r="U35" s="64"/>
      <c r="V35" s="64"/>
      <c r="W35" s="164"/>
      <c r="X35" s="164"/>
      <c r="Y35" s="165" t="s">
        <v>383</v>
      </c>
      <c r="Z35" s="165" t="str">
        <f ca="1">IFERROR(INDEX(lang!$89:$94,MATCH(L35,INDIRECT("'lang'!r89c"&amp;TEXT($AB$1,"0")&amp;":r94c"&amp;TEXT($AB$1,"0"),FALSE),0),LNG),$Z$7)</f>
        <v>none</v>
      </c>
      <c r="AA35" s="165"/>
      <c r="AB35" s="164"/>
      <c r="AC35" s="164"/>
      <c r="AD35" s="164"/>
      <c r="AE35" s="164"/>
      <c r="AF35" s="164"/>
      <c r="AG35" s="164"/>
      <c r="AH35" s="164"/>
      <c r="AI35" s="164"/>
    </row>
    <row r="36" spans="1:35" ht="31.95" hidden="1" customHeight="1" thickTop="1" thickBot="1" x14ac:dyDescent="0.35">
      <c r="A36" s="97"/>
      <c r="B36" s="82"/>
      <c r="C36" s="33"/>
      <c r="D36" s="33"/>
      <c r="E36" s="33"/>
      <c r="F36" s="33"/>
      <c r="G36" s="33"/>
      <c r="H36" s="33"/>
      <c r="I36" s="33"/>
      <c r="J36" s="70"/>
      <c r="K36" s="33"/>
      <c r="L36" s="256" t="s">
        <v>128</v>
      </c>
      <c r="M36" s="256"/>
      <c r="N36" s="33"/>
      <c r="O36" s="69" t="str">
        <f>INDEX(lang!110:110,1,LNG)</f>
        <v>CLEAR</v>
      </c>
      <c r="P36" s="33"/>
      <c r="Q36" s="87">
        <v>3</v>
      </c>
      <c r="R36" s="87" t="str">
        <f>data!AD12</f>
        <v>'data'!AC134:AC139</v>
      </c>
      <c r="S36" s="109">
        <v>0</v>
      </c>
      <c r="T36" s="64"/>
      <c r="U36" s="64"/>
      <c r="V36" s="64"/>
      <c r="W36" s="164"/>
      <c r="X36" s="164"/>
      <c r="Y36" s="165" t="s">
        <v>384</v>
      </c>
      <c r="Z36" s="165" t="str">
        <f ca="1">IFERROR(INDEX(lang!$89:$94,MATCH(L36,INDIRECT("'lang'!r89c"&amp;TEXT($AB$1,"0")&amp;":r94c"&amp;TEXT($AB$1,"0"),FALSE),0),LNG),$Z$7)</f>
        <v>none</v>
      </c>
      <c r="AA36" s="165"/>
      <c r="AB36" s="164"/>
      <c r="AC36" s="164"/>
      <c r="AD36" s="164"/>
      <c r="AE36" s="164"/>
      <c r="AF36" s="164"/>
      <c r="AG36" s="164"/>
      <c r="AH36" s="164"/>
      <c r="AI36" s="164"/>
    </row>
    <row r="37" spans="1:35" ht="31.95" hidden="1" customHeight="1" thickTop="1" thickBot="1" x14ac:dyDescent="0.35">
      <c r="A37" s="97"/>
      <c r="B37" s="82"/>
      <c r="C37" s="33"/>
      <c r="D37" s="33"/>
      <c r="E37" s="33"/>
      <c r="F37" s="33"/>
      <c r="G37" s="33"/>
      <c r="H37" s="33"/>
      <c r="I37" s="33"/>
      <c r="J37" s="70"/>
      <c r="K37" s="33"/>
      <c r="L37" s="256" t="s">
        <v>128</v>
      </c>
      <c r="M37" s="256"/>
      <c r="N37" s="33"/>
      <c r="O37" s="69" t="str">
        <f>INDEX(lang!110:110,1,LNG)</f>
        <v>CLEAR</v>
      </c>
      <c r="P37" s="33"/>
      <c r="Q37" s="87">
        <v>4</v>
      </c>
      <c r="R37" s="87" t="str">
        <f>data!AE12</f>
        <v>'data'!AE134:AE139</v>
      </c>
      <c r="S37" s="109">
        <v>0</v>
      </c>
      <c r="T37" s="64"/>
      <c r="U37" s="64"/>
      <c r="V37" s="64"/>
      <c r="W37" s="164"/>
      <c r="X37" s="164"/>
      <c r="Y37" s="165" t="s">
        <v>385</v>
      </c>
      <c r="Z37" s="165" t="str">
        <f ca="1">IFERROR(INDEX(lang!$89:$94,MATCH(L37,INDIRECT("'lang'!r89c"&amp;TEXT($AB$1,"0")&amp;":r94c"&amp;TEXT($AB$1,"0"),FALSE),0),LNG),$Z$7)</f>
        <v>none</v>
      </c>
      <c r="AA37" s="165"/>
      <c r="AB37" s="164"/>
      <c r="AC37" s="164"/>
      <c r="AD37" s="164"/>
      <c r="AE37" s="164"/>
      <c r="AF37" s="164"/>
      <c r="AG37" s="164"/>
      <c r="AH37" s="164"/>
      <c r="AI37" s="164"/>
    </row>
    <row r="38" spans="1:35" ht="31.95" hidden="1" customHeight="1" thickTop="1" thickBot="1" x14ac:dyDescent="0.35">
      <c r="A38" s="97"/>
      <c r="B38" s="82"/>
      <c r="C38" s="33"/>
      <c r="D38" s="33"/>
      <c r="E38" s="33"/>
      <c r="F38" s="33"/>
      <c r="G38" s="33"/>
      <c r="H38" s="33"/>
      <c r="I38" s="33"/>
      <c r="J38" s="70"/>
      <c r="K38" s="33"/>
      <c r="L38" s="35"/>
      <c r="M38" s="35"/>
      <c r="N38" s="33"/>
      <c r="O38" s="69" t="str">
        <f>INDEX(lang!111:111,1,LNG)</f>
        <v>CLEAR ALL</v>
      </c>
      <c r="P38" s="33"/>
      <c r="Q38" s="82"/>
      <c r="R38" s="87">
        <v>0</v>
      </c>
      <c r="S38" s="109">
        <v>0</v>
      </c>
      <c r="T38" s="64"/>
      <c r="U38" s="64"/>
      <c r="V38" s="64"/>
      <c r="W38" s="164"/>
      <c r="X38" s="164"/>
      <c r="Y38" s="165"/>
      <c r="Z38" s="165"/>
      <c r="AA38" s="165"/>
      <c r="AB38" s="164"/>
      <c r="AC38" s="164"/>
      <c r="AD38" s="164"/>
      <c r="AE38" s="164"/>
      <c r="AF38" s="164"/>
      <c r="AG38" s="164"/>
      <c r="AH38" s="164"/>
      <c r="AI38" s="164"/>
    </row>
    <row r="39" spans="1:35" ht="15" thickBot="1" x14ac:dyDescent="0.35">
      <c r="A39" s="97"/>
      <c r="B39" s="83"/>
      <c r="C39" s="79"/>
      <c r="D39" s="79"/>
      <c r="E39" s="79"/>
      <c r="F39" s="80"/>
      <c r="G39" s="79"/>
      <c r="H39" s="79"/>
      <c r="I39" s="79"/>
      <c r="J39" s="81"/>
      <c r="K39" s="79"/>
      <c r="L39" s="79"/>
      <c r="M39" s="79"/>
      <c r="N39" s="79"/>
      <c r="O39" s="79"/>
      <c r="P39" s="79"/>
      <c r="Q39" s="83"/>
      <c r="R39" s="117" t="str">
        <f>C28</f>
        <v>Task cards options</v>
      </c>
      <c r="S39" s="109">
        <v>0</v>
      </c>
      <c r="T39" s="64"/>
      <c r="U39" s="64"/>
      <c r="V39" s="64"/>
      <c r="W39" s="164"/>
      <c r="X39" s="164"/>
      <c r="Y39" s="164"/>
      <c r="Z39" s="164"/>
      <c r="AA39" s="164"/>
      <c r="AB39" s="164"/>
      <c r="AC39" s="164"/>
      <c r="AD39" s="164"/>
      <c r="AE39" s="164"/>
      <c r="AF39" s="164"/>
      <c r="AG39" s="164"/>
      <c r="AH39" s="164"/>
      <c r="AI39" s="164"/>
    </row>
    <row r="40" spans="1:35" ht="15.6" thickTop="1" thickBot="1" x14ac:dyDescent="0.35">
      <c r="A40" s="97"/>
      <c r="B40" s="82"/>
      <c r="C40" s="33"/>
      <c r="D40" s="33"/>
      <c r="E40" s="33"/>
      <c r="F40" s="33"/>
      <c r="G40" s="33"/>
      <c r="H40" s="33"/>
      <c r="I40" s="33"/>
      <c r="J40" s="72"/>
      <c r="K40" s="33"/>
      <c r="L40" s="33"/>
      <c r="M40" s="33"/>
      <c r="N40" s="33"/>
      <c r="O40" s="33"/>
      <c r="P40" s="33"/>
      <c r="Q40" s="82"/>
      <c r="R40" s="87">
        <v>0</v>
      </c>
      <c r="S40" s="109">
        <v>0</v>
      </c>
      <c r="T40" s="64"/>
      <c r="U40" s="64"/>
      <c r="V40" s="64"/>
      <c r="W40" s="164"/>
      <c r="X40" s="164"/>
      <c r="Y40" s="164"/>
      <c r="Z40" s="164"/>
      <c r="AA40" s="164"/>
      <c r="AB40" s="164"/>
      <c r="AC40" s="164"/>
      <c r="AD40" s="164"/>
      <c r="AE40" s="164"/>
      <c r="AF40" s="164"/>
      <c r="AG40" s="164"/>
      <c r="AH40" s="164"/>
      <c r="AI40" s="164"/>
    </row>
    <row r="41" spans="1:35" ht="21" customHeight="1" thickTop="1" thickBot="1" x14ac:dyDescent="0.45">
      <c r="A41" s="97"/>
      <c r="B41" s="82"/>
      <c r="C41" s="48" t="str">
        <f>INDEX(lang!101:101,1,LNG)</f>
        <v>Queenies options</v>
      </c>
      <c r="D41" s="33"/>
      <c r="E41" s="33"/>
      <c r="F41" s="33"/>
      <c r="G41" s="33"/>
      <c r="H41" s="33"/>
      <c r="I41" s="33"/>
      <c r="J41" s="72"/>
      <c r="K41" s="33"/>
      <c r="L41" s="33"/>
      <c r="M41" s="33"/>
      <c r="N41" s="33"/>
      <c r="O41" s="33"/>
      <c r="P41" s="33"/>
      <c r="Q41" s="167" t="s">
        <v>681</v>
      </c>
      <c r="R41" s="87">
        <v>0</v>
      </c>
      <c r="S41" s="109">
        <v>0</v>
      </c>
      <c r="T41" s="64"/>
      <c r="U41" s="64"/>
      <c r="V41" s="64"/>
      <c r="W41" s="164"/>
      <c r="X41" s="164"/>
      <c r="Y41" s="164"/>
      <c r="Z41" s="164"/>
      <c r="AA41" s="164"/>
      <c r="AB41" s="164"/>
      <c r="AC41" s="164"/>
      <c r="AD41" s="164"/>
      <c r="AE41" s="164"/>
      <c r="AF41" s="164"/>
      <c r="AG41" s="164"/>
      <c r="AH41" s="164"/>
      <c r="AI41" s="164"/>
    </row>
    <row r="42" spans="1:35" ht="15" thickTop="1" x14ac:dyDescent="0.3">
      <c r="A42" s="97"/>
      <c r="B42" s="82"/>
      <c r="C42" s="33"/>
      <c r="D42" s="33"/>
      <c r="E42" s="33"/>
      <c r="F42" s="33"/>
      <c r="G42" s="33"/>
      <c r="H42" s="33"/>
      <c r="I42" s="33"/>
      <c r="J42" s="72"/>
      <c r="K42" s="33"/>
      <c r="L42" s="33"/>
      <c r="M42" s="33"/>
      <c r="N42" s="33"/>
      <c r="O42" s="33"/>
      <c r="P42" s="33"/>
      <c r="Q42" s="82"/>
      <c r="R42" s="87">
        <v>0</v>
      </c>
      <c r="S42" s="109">
        <v>0</v>
      </c>
      <c r="T42" s="64"/>
      <c r="U42" s="64"/>
      <c r="V42" s="64"/>
      <c r="W42" s="164"/>
      <c r="X42" s="164"/>
      <c r="Y42" s="164"/>
      <c r="Z42" s="164"/>
      <c r="AA42" s="164"/>
      <c r="AB42" s="164"/>
      <c r="AC42" s="164"/>
      <c r="AD42" s="164"/>
      <c r="AE42" s="164"/>
      <c r="AF42" s="164"/>
      <c r="AG42" s="164"/>
      <c r="AH42" s="164"/>
      <c r="AI42" s="164"/>
    </row>
    <row r="43" spans="1:35" ht="31.95" customHeight="1" x14ac:dyDescent="0.3">
      <c r="A43" s="97"/>
      <c r="B43" s="82"/>
      <c r="C43" s="244" t="str">
        <f>INDEX(lang!62:62,1,LNG)</f>
        <v>Use Queenies?</v>
      </c>
      <c r="D43" s="244"/>
      <c r="E43" s="244"/>
      <c r="F43" s="153" t="s">
        <v>131</v>
      </c>
      <c r="G43" s="33"/>
      <c r="H43" s="33"/>
      <c r="I43" s="33"/>
      <c r="J43" s="72"/>
      <c r="K43" s="33"/>
      <c r="L43" s="33"/>
      <c r="M43" s="33"/>
      <c r="N43" s="33"/>
      <c r="O43" s="33"/>
      <c r="P43" s="33"/>
      <c r="Q43" s="82"/>
      <c r="R43" s="87">
        <v>0</v>
      </c>
      <c r="S43" s="109">
        <v>0</v>
      </c>
      <c r="T43" s="64"/>
      <c r="U43" s="64"/>
      <c r="V43" s="64"/>
      <c r="W43" s="164"/>
      <c r="X43" s="164"/>
      <c r="Y43" s="164"/>
      <c r="Z43" s="164"/>
      <c r="AA43" s="164"/>
      <c r="AB43" s="164"/>
      <c r="AC43" s="164"/>
      <c r="AD43" s="164"/>
      <c r="AE43" s="164"/>
      <c r="AF43" s="164"/>
      <c r="AG43" s="164"/>
      <c r="AH43" s="164"/>
      <c r="AI43" s="164"/>
    </row>
    <row r="44" spans="1:35" hidden="1" x14ac:dyDescent="0.3">
      <c r="A44" s="97"/>
      <c r="B44" s="82"/>
      <c r="C44" s="93"/>
      <c r="D44" s="93"/>
      <c r="E44" s="93"/>
      <c r="F44" s="74"/>
      <c r="G44" s="33"/>
      <c r="H44" s="33"/>
      <c r="I44" s="33"/>
      <c r="J44" s="72"/>
      <c r="K44" s="33"/>
      <c r="L44" s="33"/>
      <c r="M44" s="33"/>
      <c r="N44" s="33"/>
      <c r="O44" s="33"/>
      <c r="P44" s="33"/>
      <c r="Q44" s="82"/>
      <c r="R44" s="87">
        <v>0</v>
      </c>
      <c r="S44" s="109">
        <v>0</v>
      </c>
      <c r="T44" s="64"/>
      <c r="U44" s="64"/>
      <c r="V44" s="64"/>
      <c r="W44" s="164"/>
      <c r="X44" s="164"/>
      <c r="Y44" s="164"/>
      <c r="Z44" s="164"/>
      <c r="AA44" s="164"/>
      <c r="AB44" s="164"/>
      <c r="AC44" s="164"/>
      <c r="AD44" s="164"/>
      <c r="AE44" s="164"/>
      <c r="AF44" s="164"/>
      <c r="AG44" s="164"/>
      <c r="AH44" s="164"/>
      <c r="AI44" s="164"/>
    </row>
    <row r="45" spans="1:35" hidden="1" x14ac:dyDescent="0.3">
      <c r="A45" s="97"/>
      <c r="B45" s="82"/>
      <c r="C45" s="257" t="str">
        <f>INDEX(lang!69:69,1,LNG)</f>
        <v>CAPITOLS</v>
      </c>
      <c r="D45" s="258"/>
      <c r="E45" s="258"/>
      <c r="F45" s="259"/>
      <c r="G45" s="33"/>
      <c r="H45" s="33"/>
      <c r="I45" s="33"/>
      <c r="J45" s="70"/>
      <c r="K45" s="33"/>
      <c r="L45" s="33"/>
      <c r="M45" s="33"/>
      <c r="N45" s="33"/>
      <c r="O45" s="33"/>
      <c r="P45" s="33"/>
      <c r="Q45" s="82"/>
      <c r="R45" s="87">
        <v>0</v>
      </c>
      <c r="S45" s="109">
        <v>0</v>
      </c>
      <c r="T45" s="64"/>
      <c r="U45" s="64"/>
      <c r="V45" s="64"/>
      <c r="W45" s="164"/>
      <c r="X45" s="164"/>
      <c r="Y45" s="164"/>
      <c r="Z45" s="164"/>
      <c r="AA45" s="164"/>
      <c r="AB45" s="164"/>
      <c r="AC45" s="164"/>
      <c r="AD45" s="164"/>
      <c r="AE45" s="164"/>
      <c r="AF45" s="164"/>
      <c r="AG45" s="164"/>
      <c r="AH45" s="164"/>
      <c r="AI45" s="164"/>
    </row>
    <row r="46" spans="1:35" ht="31.95" hidden="1" customHeight="1" x14ac:dyDescent="0.3">
      <c r="A46" s="97"/>
      <c r="B46" s="82"/>
      <c r="C46" s="252" t="str">
        <f>INDEX(lang!72:72,1,LNG)</f>
        <v>Use according to standard rules?</v>
      </c>
      <c r="D46" s="253"/>
      <c r="E46" s="260"/>
      <c r="F46" s="153" t="s">
        <v>130</v>
      </c>
      <c r="G46" s="33"/>
      <c r="H46" s="33"/>
      <c r="I46" s="33"/>
      <c r="J46" s="70"/>
      <c r="K46" s="33"/>
      <c r="L46" s="33"/>
      <c r="M46" s="33"/>
      <c r="N46" s="33"/>
      <c r="O46" s="33"/>
      <c r="P46" s="33"/>
      <c r="Q46" s="82"/>
      <c r="R46" s="87">
        <v>0</v>
      </c>
      <c r="S46" s="109">
        <v>0</v>
      </c>
      <c r="T46" s="64"/>
      <c r="U46" s="64"/>
      <c r="V46" s="64"/>
      <c r="W46" s="164"/>
      <c r="X46" s="164"/>
      <c r="Y46" s="164"/>
      <c r="Z46" s="164"/>
      <c r="AA46" s="164"/>
      <c r="AB46" s="164"/>
      <c r="AC46" s="164"/>
      <c r="AD46" s="164"/>
      <c r="AE46" s="164"/>
      <c r="AF46" s="164"/>
      <c r="AG46" s="164"/>
      <c r="AH46" s="164"/>
      <c r="AI46" s="164"/>
    </row>
    <row r="47" spans="1:35" ht="31.95" hidden="1" customHeight="1" x14ac:dyDescent="0.3">
      <c r="A47" s="97"/>
      <c r="B47" s="82"/>
      <c r="C47" s="252" t="str">
        <f>INDEX(lang!73:73,1,LNG)</f>
        <v>Use for any boards?</v>
      </c>
      <c r="D47" s="253"/>
      <c r="E47" s="260"/>
      <c r="F47" s="155" t="s">
        <v>131</v>
      </c>
      <c r="G47" s="33"/>
      <c r="H47" s="33"/>
      <c r="I47" s="33"/>
      <c r="J47" s="70"/>
      <c r="K47" s="33"/>
      <c r="L47" s="33"/>
      <c r="M47" s="33"/>
      <c r="N47" s="33"/>
      <c r="O47" s="33"/>
      <c r="P47" s="33"/>
      <c r="Q47" s="82"/>
      <c r="R47" s="87">
        <v>0</v>
      </c>
      <c r="S47" s="109">
        <v>0</v>
      </c>
      <c r="T47" s="64"/>
      <c r="U47" s="64"/>
      <c r="V47" s="64"/>
      <c r="W47" s="164"/>
      <c r="X47" s="164"/>
      <c r="Y47" s="164"/>
      <c r="Z47" s="164"/>
      <c r="AA47" s="164"/>
      <c r="AB47" s="164"/>
      <c r="AC47" s="164"/>
      <c r="AD47" s="164"/>
      <c r="AE47" s="164"/>
      <c r="AF47" s="164"/>
      <c r="AG47" s="164"/>
      <c r="AH47" s="164"/>
      <c r="AI47" s="164"/>
    </row>
    <row r="48" spans="1:35" ht="31.95" hidden="1" customHeight="1" x14ac:dyDescent="0.3">
      <c r="A48" s="97"/>
      <c r="B48" s="82"/>
      <c r="C48" s="252" t="str">
        <f>INDEX(lang!74:74,1,LNG)</f>
        <v>Chance percentage of being used:</v>
      </c>
      <c r="D48" s="253"/>
      <c r="E48" s="253"/>
      <c r="F48" s="156">
        <v>10</v>
      </c>
      <c r="G48" s="33"/>
      <c r="H48" s="33"/>
      <c r="I48" s="33"/>
      <c r="J48" s="70"/>
      <c r="K48" s="33"/>
      <c r="L48" s="33"/>
      <c r="M48" s="33"/>
      <c r="N48" s="33"/>
      <c r="O48" s="33"/>
      <c r="P48" s="33"/>
      <c r="Q48" s="82"/>
      <c r="R48" s="87">
        <v>0</v>
      </c>
      <c r="S48" s="109">
        <v>0</v>
      </c>
      <c r="T48" s="64"/>
      <c r="U48" s="64"/>
      <c r="V48" s="64"/>
      <c r="W48" s="164"/>
      <c r="X48" s="164"/>
      <c r="Y48" s="164"/>
      <c r="Z48" s="164"/>
      <c r="AA48" s="164"/>
      <c r="AB48" s="164"/>
      <c r="AC48" s="164"/>
      <c r="AD48" s="164"/>
      <c r="AE48" s="164"/>
      <c r="AF48" s="164"/>
      <c r="AG48" s="164"/>
      <c r="AH48" s="164"/>
      <c r="AI48" s="164"/>
    </row>
    <row r="49" spans="1:35" hidden="1" x14ac:dyDescent="0.3">
      <c r="A49" s="97"/>
      <c r="B49" s="82"/>
      <c r="C49" s="33"/>
      <c r="D49" s="33"/>
      <c r="E49" s="33"/>
      <c r="F49" s="33"/>
      <c r="G49" s="33"/>
      <c r="H49" s="33"/>
      <c r="I49" s="33"/>
      <c r="J49" s="70"/>
      <c r="K49" s="33"/>
      <c r="L49" s="33"/>
      <c r="M49" s="33"/>
      <c r="N49" s="33"/>
      <c r="O49" s="33"/>
      <c r="P49" s="33"/>
      <c r="Q49" s="82"/>
      <c r="R49" s="87">
        <v>0</v>
      </c>
      <c r="S49" s="109">
        <v>0</v>
      </c>
      <c r="T49" s="64"/>
      <c r="U49" s="64"/>
      <c r="V49" s="64"/>
      <c r="W49" s="164"/>
      <c r="X49" s="164"/>
      <c r="Y49" s="164"/>
      <c r="Z49" s="164"/>
      <c r="AA49" s="164"/>
      <c r="AB49" s="164"/>
      <c r="AC49" s="164"/>
      <c r="AD49" s="164"/>
      <c r="AE49" s="164"/>
      <c r="AF49" s="164"/>
      <c r="AG49" s="164"/>
      <c r="AH49" s="164"/>
      <c r="AI49" s="164"/>
    </row>
    <row r="50" spans="1:35" hidden="1" x14ac:dyDescent="0.3">
      <c r="A50" s="97"/>
      <c r="B50" s="82"/>
      <c r="C50" s="257" t="str">
        <f>INDEX(lang!70:70,1,LNG)</f>
        <v>CAVES</v>
      </c>
      <c r="D50" s="258"/>
      <c r="E50" s="258"/>
      <c r="F50" s="259"/>
      <c r="G50" s="33"/>
      <c r="H50" s="33"/>
      <c r="I50" s="33"/>
      <c r="J50" s="70"/>
      <c r="K50" s="33"/>
      <c r="L50" s="33"/>
      <c r="M50" s="33"/>
      <c r="N50" s="33"/>
      <c r="O50" s="33"/>
      <c r="P50" s="33"/>
      <c r="Q50" s="82"/>
      <c r="R50" s="87">
        <v>0</v>
      </c>
      <c r="S50" s="109">
        <v>0</v>
      </c>
      <c r="T50" s="64"/>
      <c r="U50" s="64"/>
      <c r="V50" s="64"/>
      <c r="W50" s="164"/>
      <c r="X50" s="164"/>
      <c r="Y50" s="164"/>
      <c r="Z50" s="164"/>
      <c r="AA50" s="164"/>
      <c r="AB50" s="164"/>
      <c r="AC50" s="164"/>
      <c r="AD50" s="164"/>
      <c r="AE50" s="164"/>
      <c r="AF50" s="164"/>
      <c r="AG50" s="164"/>
      <c r="AH50" s="164"/>
      <c r="AI50" s="164"/>
    </row>
    <row r="51" spans="1:35" ht="31.95" hidden="1" customHeight="1" x14ac:dyDescent="0.3">
      <c r="A51" s="97"/>
      <c r="B51" s="82"/>
      <c r="C51" s="252" t="str">
        <f>INDEX(lang!75:75,1,LNG)</f>
        <v>Use at all?</v>
      </c>
      <c r="D51" s="253"/>
      <c r="E51" s="260"/>
      <c r="F51" s="155" t="s">
        <v>130</v>
      </c>
      <c r="G51" s="33"/>
      <c r="H51" s="33"/>
      <c r="I51" s="33"/>
      <c r="J51" s="70"/>
      <c r="K51" s="33"/>
      <c r="L51" s="33"/>
      <c r="M51" s="33"/>
      <c r="N51" s="33"/>
      <c r="O51" s="33"/>
      <c r="P51" s="33"/>
      <c r="Q51" s="82"/>
      <c r="R51" s="87">
        <v>0</v>
      </c>
      <c r="S51" s="109">
        <v>0</v>
      </c>
      <c r="T51" s="64"/>
      <c r="U51" s="64"/>
      <c r="V51" s="64"/>
      <c r="W51" s="164"/>
      <c r="X51" s="164"/>
      <c r="Y51" s="164"/>
      <c r="Z51" s="164"/>
      <c r="AA51" s="164"/>
      <c r="AB51" s="164"/>
      <c r="AC51" s="164"/>
      <c r="AD51" s="164"/>
      <c r="AE51" s="164"/>
      <c r="AF51" s="164"/>
      <c r="AG51" s="164"/>
      <c r="AH51" s="164"/>
      <c r="AI51" s="164"/>
    </row>
    <row r="52" spans="1:35" ht="31.95" hidden="1" customHeight="1" x14ac:dyDescent="0.3">
      <c r="A52" s="97"/>
      <c r="B52" s="82"/>
      <c r="C52" s="252" t="str">
        <f>INDEX(lang!74:74,1,LNG)</f>
        <v>Chance percentage of being used:</v>
      </c>
      <c r="D52" s="253"/>
      <c r="E52" s="253"/>
      <c r="F52" s="156">
        <v>10</v>
      </c>
      <c r="G52" s="33"/>
      <c r="H52" s="33"/>
      <c r="I52" s="33"/>
      <c r="J52" s="70"/>
      <c r="K52" s="33"/>
      <c r="L52" s="33"/>
      <c r="M52" s="33"/>
      <c r="N52" s="33"/>
      <c r="O52" s="33"/>
      <c r="P52" s="33"/>
      <c r="Q52" s="82"/>
      <c r="R52" s="87">
        <v>0</v>
      </c>
      <c r="S52" s="109">
        <v>0</v>
      </c>
      <c r="T52" s="64"/>
      <c r="U52" s="64"/>
      <c r="V52" s="64"/>
      <c r="W52" s="164"/>
      <c r="X52" s="164"/>
      <c r="Y52" s="164"/>
      <c r="Z52" s="164"/>
      <c r="AA52" s="164"/>
      <c r="AB52" s="164"/>
      <c r="AC52" s="164"/>
      <c r="AD52" s="164"/>
      <c r="AE52" s="164"/>
      <c r="AF52" s="164"/>
      <c r="AG52" s="164"/>
      <c r="AH52" s="164"/>
      <c r="AI52" s="164"/>
    </row>
    <row r="53" spans="1:35" hidden="1" x14ac:dyDescent="0.3">
      <c r="A53" s="97"/>
      <c r="B53" s="82"/>
      <c r="C53" s="33"/>
      <c r="D53" s="33"/>
      <c r="E53" s="33"/>
      <c r="F53" s="33"/>
      <c r="G53" s="33"/>
      <c r="H53" s="33"/>
      <c r="I53" s="33"/>
      <c r="J53" s="70"/>
      <c r="K53" s="33"/>
      <c r="L53" s="33"/>
      <c r="M53" s="33"/>
      <c r="N53" s="33"/>
      <c r="O53" s="33"/>
      <c r="P53" s="33"/>
      <c r="Q53" s="82"/>
      <c r="R53" s="87">
        <v>0</v>
      </c>
      <c r="S53" s="109">
        <v>0</v>
      </c>
      <c r="T53" s="64"/>
      <c r="U53" s="64"/>
      <c r="V53" s="64"/>
      <c r="W53" s="164"/>
      <c r="X53" s="164"/>
      <c r="Y53" s="164"/>
      <c r="Z53" s="164"/>
      <c r="AA53" s="164"/>
      <c r="AB53" s="164"/>
      <c r="AC53" s="164"/>
      <c r="AD53" s="164"/>
      <c r="AE53" s="164"/>
      <c r="AF53" s="164"/>
      <c r="AG53" s="164"/>
      <c r="AH53" s="164"/>
      <c r="AI53" s="164"/>
    </row>
    <row r="54" spans="1:35" hidden="1" x14ac:dyDescent="0.3">
      <c r="A54" s="97"/>
      <c r="B54" s="82"/>
      <c r="C54" s="257" t="str">
        <f>INDEX(lang!71:71,1,LNG)</f>
        <v>ISLAND</v>
      </c>
      <c r="D54" s="258"/>
      <c r="E54" s="258"/>
      <c r="F54" s="259"/>
      <c r="G54" s="33"/>
      <c r="H54" s="33"/>
      <c r="I54" s="33"/>
      <c r="J54" s="70"/>
      <c r="K54" s="33"/>
      <c r="L54" s="33"/>
      <c r="M54" s="33"/>
      <c r="N54" s="33"/>
      <c r="O54" s="33"/>
      <c r="P54" s="33"/>
      <c r="Q54" s="82"/>
      <c r="R54" s="87">
        <v>0</v>
      </c>
      <c r="S54" s="109">
        <v>0</v>
      </c>
      <c r="T54" s="64"/>
      <c r="U54" s="64"/>
      <c r="V54" s="64"/>
      <c r="W54" s="164"/>
      <c r="X54" s="164"/>
      <c r="Y54" s="164"/>
      <c r="Z54" s="164"/>
      <c r="AA54" s="164"/>
      <c r="AB54" s="164"/>
      <c r="AC54" s="164"/>
      <c r="AD54" s="164"/>
      <c r="AE54" s="164"/>
      <c r="AF54" s="164"/>
      <c r="AG54" s="164"/>
      <c r="AH54" s="164"/>
      <c r="AI54" s="164"/>
    </row>
    <row r="55" spans="1:35" ht="31.95" hidden="1" customHeight="1" x14ac:dyDescent="0.3">
      <c r="A55" s="97"/>
      <c r="B55" s="82"/>
      <c r="C55" s="252" t="str">
        <f>INDEX(lang!75:75,1,LNG)</f>
        <v>Use at all?</v>
      </c>
      <c r="D55" s="253"/>
      <c r="E55" s="260"/>
      <c r="F55" s="155" t="s">
        <v>130</v>
      </c>
      <c r="G55" s="33"/>
      <c r="H55" s="33"/>
      <c r="I55" s="33"/>
      <c r="J55" s="70"/>
      <c r="K55" s="33"/>
      <c r="L55" s="33"/>
      <c r="M55" s="33"/>
      <c r="N55" s="33"/>
      <c r="O55" s="33"/>
      <c r="P55" s="33"/>
      <c r="Q55" s="82"/>
      <c r="R55" s="87">
        <v>0</v>
      </c>
      <c r="S55" s="109">
        <v>0</v>
      </c>
      <c r="T55" s="64"/>
      <c r="U55" s="64"/>
      <c r="V55" s="64"/>
      <c r="W55" s="164"/>
      <c r="X55" s="164"/>
      <c r="Y55" s="164"/>
      <c r="Z55" s="164"/>
      <c r="AA55" s="164"/>
      <c r="AB55" s="164"/>
      <c r="AC55" s="164"/>
      <c r="AD55" s="164"/>
      <c r="AE55" s="164"/>
      <c r="AF55" s="164"/>
      <c r="AG55" s="164"/>
      <c r="AH55" s="164"/>
      <c r="AI55" s="164"/>
    </row>
    <row r="56" spans="1:35" ht="31.95" hidden="1" customHeight="1" x14ac:dyDescent="0.3">
      <c r="A56" s="97"/>
      <c r="B56" s="82"/>
      <c r="C56" s="252" t="str">
        <f>INDEX(lang!74:74,1,LNG)</f>
        <v>Chance percentage of being used:</v>
      </c>
      <c r="D56" s="253"/>
      <c r="E56" s="253"/>
      <c r="F56" s="156">
        <v>10</v>
      </c>
      <c r="G56" s="33"/>
      <c r="H56" s="33"/>
      <c r="I56" s="33"/>
      <c r="J56" s="70"/>
      <c r="K56" s="33"/>
      <c r="L56" s="33"/>
      <c r="M56" s="33"/>
      <c r="N56" s="33"/>
      <c r="O56" s="33"/>
      <c r="P56" s="33"/>
      <c r="Q56" s="82"/>
      <c r="R56" s="87">
        <v>0</v>
      </c>
      <c r="S56" s="109">
        <v>0</v>
      </c>
      <c r="T56" s="64"/>
      <c r="U56" s="64"/>
      <c r="V56" s="64"/>
      <c r="W56" s="164"/>
      <c r="X56" s="164"/>
      <c r="Y56" s="164"/>
      <c r="Z56" s="164"/>
      <c r="AA56" s="164"/>
      <c r="AB56" s="164"/>
      <c r="AC56" s="164"/>
      <c r="AD56" s="164"/>
      <c r="AE56" s="164"/>
      <c r="AF56" s="164"/>
      <c r="AG56" s="164"/>
      <c r="AH56" s="164"/>
      <c r="AI56" s="164"/>
    </row>
    <row r="57" spans="1:35" ht="15" thickBot="1" x14ac:dyDescent="0.35">
      <c r="A57" s="97"/>
      <c r="B57" s="83"/>
      <c r="C57" s="79"/>
      <c r="D57" s="79"/>
      <c r="E57" s="79"/>
      <c r="F57" s="80"/>
      <c r="G57" s="79"/>
      <c r="H57" s="79"/>
      <c r="I57" s="79"/>
      <c r="J57" s="81"/>
      <c r="K57" s="79"/>
      <c r="L57" s="79"/>
      <c r="M57" s="79"/>
      <c r="N57" s="79"/>
      <c r="O57" s="79"/>
      <c r="P57" s="79"/>
      <c r="Q57" s="83"/>
      <c r="R57" s="117" t="str">
        <f>C41</f>
        <v>Queenies options</v>
      </c>
      <c r="S57" s="109">
        <v>0</v>
      </c>
      <c r="T57" s="64"/>
      <c r="U57" s="64"/>
      <c r="V57" s="64"/>
      <c r="W57" s="164"/>
      <c r="X57" s="164"/>
      <c r="Y57" s="164"/>
      <c r="Z57" s="164"/>
      <c r="AA57" s="164"/>
      <c r="AB57" s="164"/>
      <c r="AC57" s="164"/>
      <c r="AD57" s="164"/>
      <c r="AE57" s="164"/>
      <c r="AF57" s="164"/>
      <c r="AG57" s="164"/>
      <c r="AH57" s="164"/>
      <c r="AI57" s="164"/>
    </row>
    <row r="58" spans="1:35" ht="15.6" thickTop="1" thickBot="1" x14ac:dyDescent="0.35">
      <c r="A58" s="97"/>
      <c r="B58" s="82"/>
      <c r="C58" s="33"/>
      <c r="D58" s="33"/>
      <c r="E58" s="33"/>
      <c r="F58" s="33"/>
      <c r="G58" s="33"/>
      <c r="H58" s="33"/>
      <c r="I58" s="33"/>
      <c r="J58" s="72"/>
      <c r="K58" s="33"/>
      <c r="L58" s="33"/>
      <c r="M58" s="33"/>
      <c r="N58" s="33"/>
      <c r="O58" s="33"/>
      <c r="P58" s="33"/>
      <c r="Q58" s="82"/>
      <c r="R58" s="87">
        <v>0</v>
      </c>
      <c r="S58" s="109">
        <v>0</v>
      </c>
      <c r="T58" s="64"/>
      <c r="U58" s="64"/>
      <c r="V58" s="64"/>
      <c r="W58" s="164"/>
      <c r="X58" s="164"/>
      <c r="Y58" s="164"/>
      <c r="Z58" s="164"/>
      <c r="AA58" s="164"/>
      <c r="AB58" s="164"/>
      <c r="AC58" s="164"/>
      <c r="AD58" s="164"/>
      <c r="AE58" s="164"/>
      <c r="AF58" s="164"/>
      <c r="AG58" s="164"/>
      <c r="AH58" s="164"/>
      <c r="AI58" s="164"/>
    </row>
    <row r="59" spans="1:35" ht="21" customHeight="1" thickTop="1" thickBot="1" x14ac:dyDescent="0.45">
      <c r="A59" s="97"/>
      <c r="B59" s="87"/>
      <c r="C59" s="48" t="str">
        <f>INDEX(lang!128:128,1,LNG)</f>
        <v>Options presets</v>
      </c>
      <c r="D59" s="87"/>
      <c r="E59" s="87"/>
      <c r="F59" s="87"/>
      <c r="G59" s="87"/>
      <c r="H59" s="87"/>
      <c r="I59" s="87"/>
      <c r="J59" s="94"/>
      <c r="K59" s="87"/>
      <c r="L59" s="87"/>
      <c r="M59" s="87"/>
      <c r="N59" s="87"/>
      <c r="O59" s="87"/>
      <c r="P59" s="87"/>
      <c r="Q59" s="167" t="s">
        <v>681</v>
      </c>
      <c r="R59" s="87">
        <v>0</v>
      </c>
      <c r="S59" s="109">
        <v>0</v>
      </c>
      <c r="T59" s="64"/>
      <c r="U59" s="64"/>
      <c r="V59" s="64"/>
      <c r="W59" s="164"/>
      <c r="X59" s="164"/>
      <c r="Y59" s="164"/>
      <c r="Z59" s="164"/>
      <c r="AA59" s="164"/>
      <c r="AB59" s="164"/>
      <c r="AC59" s="164"/>
      <c r="AD59" s="164"/>
      <c r="AE59" s="164"/>
      <c r="AF59" s="164"/>
      <c r="AG59" s="164"/>
      <c r="AH59" s="164"/>
      <c r="AI59" s="164"/>
    </row>
    <row r="60" spans="1:35" ht="15" thickTop="1" x14ac:dyDescent="0.3">
      <c r="A60" s="97"/>
      <c r="B60" s="82"/>
      <c r="C60" s="33"/>
      <c r="D60" s="33"/>
      <c r="E60" s="33"/>
      <c r="F60" s="33"/>
      <c r="G60" s="33"/>
      <c r="H60" s="33"/>
      <c r="I60" s="33"/>
      <c r="J60" s="70"/>
      <c r="K60" s="33"/>
      <c r="L60" s="33"/>
      <c r="M60" s="33"/>
      <c r="N60" s="33"/>
      <c r="O60" s="33"/>
      <c r="P60" s="33"/>
      <c r="Q60" s="82"/>
      <c r="R60" s="87">
        <v>0</v>
      </c>
      <c r="S60" s="109">
        <v>0</v>
      </c>
      <c r="T60" s="64"/>
      <c r="U60" s="64"/>
      <c r="V60" s="64"/>
      <c r="W60" s="164"/>
      <c r="X60" s="164"/>
      <c r="Y60" s="164"/>
      <c r="Z60" s="164"/>
      <c r="AA60" s="164"/>
      <c r="AB60" s="164"/>
      <c r="AC60" s="164"/>
      <c r="AD60" s="164"/>
      <c r="AE60" s="164"/>
      <c r="AF60" s="164"/>
      <c r="AG60" s="164"/>
      <c r="AH60" s="164"/>
      <c r="AI60" s="164"/>
    </row>
    <row r="61" spans="1:35" ht="16.2" thickBot="1" x14ac:dyDescent="0.35">
      <c r="A61" s="97"/>
      <c r="B61" s="82"/>
      <c r="C61" s="92" t="str">
        <f>INDEX(lang!129:129,1,LNG)</f>
        <v>Save current option preset as: (limited to 150 characters)</v>
      </c>
      <c r="D61" s="33"/>
      <c r="E61" s="33"/>
      <c r="F61" s="33"/>
      <c r="G61" s="33"/>
      <c r="H61" s="33"/>
      <c r="I61" s="33"/>
      <c r="J61" s="70"/>
      <c r="K61" s="33"/>
      <c r="L61" s="33"/>
      <c r="M61" s="33"/>
      <c r="N61" s="33"/>
      <c r="O61" s="33"/>
      <c r="P61" s="33"/>
      <c r="Q61" s="82"/>
      <c r="R61" s="87">
        <v>0</v>
      </c>
      <c r="S61" s="109">
        <v>0</v>
      </c>
      <c r="T61" s="64"/>
      <c r="U61" s="64"/>
      <c r="V61" s="64"/>
      <c r="W61" s="164" t="s">
        <v>420</v>
      </c>
      <c r="X61" s="164" t="s">
        <v>406</v>
      </c>
      <c r="Y61" s="164" t="s">
        <v>427</v>
      </c>
      <c r="Z61" s="164" t="s">
        <v>421</v>
      </c>
      <c r="AA61" s="164" t="s">
        <v>423</v>
      </c>
      <c r="AB61" s="164" t="s">
        <v>424</v>
      </c>
      <c r="AC61" s="164" t="s">
        <v>428</v>
      </c>
      <c r="AD61" s="164"/>
      <c r="AE61" s="164" t="s">
        <v>423</v>
      </c>
      <c r="AF61" s="164" t="s">
        <v>431</v>
      </c>
      <c r="AG61" s="164" t="s">
        <v>439</v>
      </c>
      <c r="AH61" s="164" t="s">
        <v>431</v>
      </c>
      <c r="AI61" s="164"/>
    </row>
    <row r="62" spans="1:35" ht="31.95" customHeight="1" thickTop="1" thickBot="1" x14ac:dyDescent="0.35">
      <c r="A62" s="97"/>
      <c r="B62" s="82"/>
      <c r="C62" s="243"/>
      <c r="D62" s="243"/>
      <c r="E62" s="243"/>
      <c r="F62" s="243"/>
      <c r="G62" s="243"/>
      <c r="H62" s="243"/>
      <c r="I62" s="243"/>
      <c r="J62" s="243"/>
      <c r="K62" s="243"/>
      <c r="L62" s="243"/>
      <c r="M62" s="243"/>
      <c r="N62" s="33"/>
      <c r="O62" s="69" t="str">
        <f>INDEX(lang!131:131,1,LNG)</f>
        <v>SAVE</v>
      </c>
      <c r="P62" s="33"/>
      <c r="Q62" s="82"/>
      <c r="R62" s="87">
        <v>0</v>
      </c>
      <c r="S62" s="109">
        <v>0</v>
      </c>
      <c r="T62" s="64"/>
      <c r="U62" s="64"/>
      <c r="V62" s="64"/>
      <c r="W62" s="164">
        <f>IF(LEN(C62)&gt;150,LEFT(C62,150),C62)</f>
        <v>0</v>
      </c>
      <c r="X62" s="164" t="b">
        <f>W62=C62</f>
        <v>1</v>
      </c>
      <c r="Y62" s="164" t="b">
        <f>ISERROR(MATCH(C62,saves!B:B,0))=FALSE</f>
        <v>0</v>
      </c>
      <c r="Z62" s="164" t="b">
        <f>ISERROR(MATCH(L63,lang!140:140,0))=FALSE</f>
        <v>0</v>
      </c>
      <c r="AA62" s="164" t="str">
        <f>INDEX(lang!152:152,1,LNG)</f>
        <v>Sorry, you cannot use this name for your save.</v>
      </c>
      <c r="AB62" s="164" t="str">
        <f>INDEX(lang!151:151,1,LNG)</f>
        <v>Forbidden name</v>
      </c>
      <c r="AC62" s="164" t="str">
        <f>INDEX(saves!B:B,MATCH('data-saves'!A98,saves!C:C,0))</f>
        <v>Base game only</v>
      </c>
      <c r="AD62" s="164" t="b">
        <f>ISERROR(AC62)=FALSE</f>
        <v>1</v>
      </c>
      <c r="AE62" s="164" t="str">
        <f>INDEX(lang!157:157,1,LNG)</f>
        <v>There already is an identical options setup saved under the name</v>
      </c>
      <c r="AF62" s="164" t="str">
        <f>INDEX(lang!153:153,1,LNG)</f>
        <v>Repeated save</v>
      </c>
      <c r="AG62" s="164" t="str">
        <f>INDEX(lang!159:159,1,LNG)</f>
        <v>The save data is corrupted and couldn't be loaded. Do you want to delete it?</v>
      </c>
      <c r="AH62" s="164" t="str">
        <f>INDEX(lang!160:160,1,LNG)</f>
        <v>Corrupt save</v>
      </c>
      <c r="AI62" s="164"/>
    </row>
    <row r="63" spans="1:35" ht="15" thickTop="1" x14ac:dyDescent="0.3">
      <c r="A63" s="97"/>
      <c r="B63" s="82"/>
      <c r="C63" s="33"/>
      <c r="D63" s="33"/>
      <c r="E63" s="33"/>
      <c r="F63" s="33"/>
      <c r="G63" s="33"/>
      <c r="H63" s="33"/>
      <c r="I63" s="33"/>
      <c r="J63" s="70"/>
      <c r="K63" s="33"/>
      <c r="L63" s="33"/>
      <c r="M63" s="33"/>
      <c r="N63" s="33"/>
      <c r="O63" s="33"/>
      <c r="P63" s="33"/>
      <c r="Q63" s="82"/>
      <c r="R63" s="87">
        <v>0</v>
      </c>
      <c r="S63" s="109">
        <v>0</v>
      </c>
      <c r="T63" s="64"/>
      <c r="U63" s="64"/>
      <c r="V63" s="64"/>
      <c r="W63" s="164" t="s">
        <v>434</v>
      </c>
      <c r="X63" s="164" t="s">
        <v>435</v>
      </c>
      <c r="Y63" s="164"/>
      <c r="Z63" s="164"/>
      <c r="AA63" s="164"/>
      <c r="AB63" s="164"/>
      <c r="AC63" s="164"/>
      <c r="AD63" s="164"/>
      <c r="AE63" s="164"/>
      <c r="AF63" s="164"/>
      <c r="AG63" s="164"/>
      <c r="AH63" s="164"/>
      <c r="AI63" s="164"/>
    </row>
    <row r="64" spans="1:35" ht="16.2" thickBot="1" x14ac:dyDescent="0.35">
      <c r="A64" s="97"/>
      <c r="B64" s="82"/>
      <c r="C64" s="92" t="str">
        <f>INDEX(lang!130:130,1,LNG)</f>
        <v>Load a saved option preset</v>
      </c>
      <c r="D64" s="33"/>
      <c r="E64" s="33"/>
      <c r="F64" s="33"/>
      <c r="G64" s="33"/>
      <c r="H64" s="33"/>
      <c r="I64" s="33"/>
      <c r="J64" s="70"/>
      <c r="K64" s="33"/>
      <c r="L64" s="33"/>
      <c r="M64" s="33"/>
      <c r="N64" s="33"/>
      <c r="O64" s="33"/>
      <c r="P64" s="33"/>
      <c r="Q64" s="82"/>
      <c r="R64" s="87">
        <v>0</v>
      </c>
      <c r="S64" s="109">
        <v>0</v>
      </c>
      <c r="T64" s="64"/>
      <c r="U64" s="64"/>
      <c r="V64" s="64"/>
      <c r="W64" s="164" t="str">
        <f>INDEX(lang!158:158,1,LNG)</f>
        <v>There already is a saved options setup under this name.</v>
      </c>
      <c r="X64" s="164" t="str">
        <f>INDEX(lang!155:155,1,LNG)</f>
        <v>Repeated name</v>
      </c>
      <c r="Y64" s="164"/>
      <c r="Z64" s="164"/>
      <c r="AA64" s="164"/>
      <c r="AB64" s="164"/>
      <c r="AC64" s="164"/>
      <c r="AD64" s="164"/>
      <c r="AE64" s="164"/>
      <c r="AF64" s="164"/>
      <c r="AG64" s="164"/>
      <c r="AH64" s="164"/>
      <c r="AI64" s="164"/>
    </row>
    <row r="65" spans="1:35" ht="31.95" customHeight="1" thickTop="1" thickBot="1" x14ac:dyDescent="0.35">
      <c r="A65" s="97"/>
      <c r="B65" s="82"/>
      <c r="C65" s="243" t="s">
        <v>373</v>
      </c>
      <c r="D65" s="243"/>
      <c r="E65" s="243"/>
      <c r="F65" s="243"/>
      <c r="G65" s="243"/>
      <c r="H65" s="243"/>
      <c r="I65" s="243"/>
      <c r="J65" s="243"/>
      <c r="K65" s="243"/>
      <c r="L65" s="243"/>
      <c r="M65" s="243"/>
      <c r="N65" s="33"/>
      <c r="O65" s="69" t="str">
        <f>INDEX(lang!132:132,1,LNG)</f>
        <v>LOAD</v>
      </c>
      <c r="P65" s="33"/>
      <c r="Q65" s="82"/>
      <c r="R65" s="87" t="str">
        <f>saves!A1</f>
        <v>'saves'!B3:B6</v>
      </c>
      <c r="S65" s="109">
        <v>0</v>
      </c>
      <c r="T65" s="64"/>
      <c r="U65" s="64"/>
      <c r="V65" s="64"/>
      <c r="W65" s="164">
        <f>IFERROR(MATCH(C65,saves!B:B,0),3)</f>
        <v>3</v>
      </c>
      <c r="X65" s="164" t="b">
        <f>ISERROR(W65)</f>
        <v>0</v>
      </c>
      <c r="Y65" s="164"/>
      <c r="Z65" s="164"/>
      <c r="AA65" s="164"/>
      <c r="AB65" s="164"/>
      <c r="AC65" s="164"/>
      <c r="AD65" s="164"/>
      <c r="AE65" s="164"/>
      <c r="AF65" s="164"/>
      <c r="AG65" s="164"/>
      <c r="AH65" s="164"/>
      <c r="AI65" s="164"/>
    </row>
    <row r="66" spans="1:35" ht="15" thickTop="1" x14ac:dyDescent="0.3">
      <c r="A66" s="97"/>
      <c r="B66" s="82"/>
      <c r="C66" s="33"/>
      <c r="D66" s="33"/>
      <c r="E66" s="33"/>
      <c r="F66" s="33"/>
      <c r="G66" s="33"/>
      <c r="H66" s="33"/>
      <c r="I66" s="33"/>
      <c r="J66" s="70"/>
      <c r="K66" s="33"/>
      <c r="L66" s="33"/>
      <c r="M66" s="33"/>
      <c r="N66" s="33"/>
      <c r="O66" s="33"/>
      <c r="P66" s="33"/>
      <c r="Q66" s="82"/>
      <c r="R66" s="87">
        <v>0</v>
      </c>
      <c r="S66" s="109">
        <v>0</v>
      </c>
      <c r="T66" s="64"/>
      <c r="U66" s="64"/>
      <c r="V66" s="64"/>
      <c r="W66" s="164"/>
      <c r="X66" s="164"/>
      <c r="Y66" s="164"/>
      <c r="Z66" s="164"/>
      <c r="AA66" s="164"/>
      <c r="AB66" s="164"/>
      <c r="AC66" s="164"/>
      <c r="AD66" s="164"/>
      <c r="AE66" s="164"/>
      <c r="AF66" s="164"/>
      <c r="AG66" s="164"/>
      <c r="AH66" s="164"/>
      <c r="AI66" s="164"/>
    </row>
    <row r="67" spans="1:35" ht="16.2" thickBot="1" x14ac:dyDescent="0.35">
      <c r="A67" s="97"/>
      <c r="B67" s="82"/>
      <c r="C67" s="107" t="str">
        <f>INDEX(lang!138:138,1,LNG)</f>
        <v>Delete a saved options preset</v>
      </c>
      <c r="D67" s="33"/>
      <c r="E67" s="33"/>
      <c r="F67" s="33"/>
      <c r="G67" s="33"/>
      <c r="H67" s="33"/>
      <c r="I67" s="33"/>
      <c r="J67" s="70"/>
      <c r="K67" s="33"/>
      <c r="L67" s="33"/>
      <c r="M67" s="33"/>
      <c r="N67" s="33"/>
      <c r="O67" s="33"/>
      <c r="P67" s="33"/>
      <c r="Q67" s="82"/>
      <c r="R67" s="87">
        <v>0</v>
      </c>
      <c r="S67" s="109">
        <v>0</v>
      </c>
      <c r="T67" s="64"/>
      <c r="U67" s="64"/>
      <c r="V67" s="64"/>
      <c r="W67" s="164"/>
      <c r="X67" s="164"/>
      <c r="Y67" s="164"/>
      <c r="Z67" s="164"/>
      <c r="AA67" s="164"/>
      <c r="AB67" s="164"/>
      <c r="AC67" s="164"/>
      <c r="AD67" s="164"/>
      <c r="AE67" s="164"/>
      <c r="AF67" s="164"/>
      <c r="AG67" s="164"/>
      <c r="AH67" s="164"/>
      <c r="AI67" s="164"/>
    </row>
    <row r="68" spans="1:35" ht="31.95" customHeight="1" thickTop="1" thickBot="1" x14ac:dyDescent="0.35">
      <c r="A68" s="97"/>
      <c r="B68" s="82"/>
      <c r="C68" s="239" t="s">
        <v>373</v>
      </c>
      <c r="D68" s="239"/>
      <c r="E68" s="239"/>
      <c r="F68" s="239"/>
      <c r="G68" s="239"/>
      <c r="H68" s="239"/>
      <c r="I68" s="239"/>
      <c r="J68" s="239"/>
      <c r="K68" s="239"/>
      <c r="L68" s="239"/>
      <c r="M68" s="239"/>
      <c r="N68" s="33"/>
      <c r="O68" s="108" t="str">
        <f>INDEX(lang!139:139,1,LNG)</f>
        <v>DELETE</v>
      </c>
      <c r="P68" s="33"/>
      <c r="Q68" s="82"/>
      <c r="R68" s="87" t="str">
        <f>R65</f>
        <v>'saves'!B3:B6</v>
      </c>
      <c r="S68" s="109">
        <v>0</v>
      </c>
      <c r="T68" s="64"/>
      <c r="U68" s="64"/>
      <c r="V68" s="64"/>
      <c r="W68" s="164">
        <f>IFERROR(MATCH(C68,saves!B:B,0),3)</f>
        <v>3</v>
      </c>
      <c r="X68" s="164" t="b">
        <f>ISERROR(W68)</f>
        <v>0</v>
      </c>
      <c r="Y68" s="164"/>
      <c r="Z68" s="164"/>
      <c r="AA68" s="164"/>
      <c r="AB68" s="164"/>
      <c r="AC68" s="164"/>
      <c r="AD68" s="164"/>
      <c r="AE68" s="164"/>
      <c r="AF68" s="164"/>
      <c r="AG68" s="164"/>
      <c r="AH68" s="164"/>
      <c r="AI68" s="164"/>
    </row>
    <row r="69" spans="1:35" ht="15" customHeight="1" thickTop="1" x14ac:dyDescent="0.3">
      <c r="A69" s="97"/>
      <c r="B69" s="82"/>
      <c r="C69" s="33"/>
      <c r="D69" s="33"/>
      <c r="E69" s="33"/>
      <c r="F69" s="33"/>
      <c r="G69" s="33"/>
      <c r="H69" s="33"/>
      <c r="I69" s="33"/>
      <c r="J69" s="70"/>
      <c r="K69" s="33"/>
      <c r="L69" s="33"/>
      <c r="M69" s="33"/>
      <c r="N69" s="33"/>
      <c r="O69" s="33"/>
      <c r="P69" s="33"/>
      <c r="Q69" s="82"/>
      <c r="R69" s="87"/>
      <c r="S69" s="109">
        <v>0</v>
      </c>
      <c r="T69" s="64"/>
      <c r="U69" s="64"/>
      <c r="V69" s="64"/>
      <c r="W69" s="164"/>
      <c r="X69" s="164"/>
      <c r="Y69" s="164"/>
      <c r="Z69" s="164"/>
      <c r="AA69" s="164"/>
      <c r="AB69" s="164"/>
      <c r="AC69" s="164"/>
      <c r="AD69" s="164"/>
      <c r="AE69" s="164"/>
      <c r="AF69" s="164"/>
      <c r="AG69" s="164"/>
      <c r="AH69" s="164"/>
      <c r="AI69" s="164"/>
    </row>
    <row r="70" spans="1:35" ht="16.2" customHeight="1" thickBot="1" x14ac:dyDescent="0.35">
      <c r="A70" s="97"/>
      <c r="B70" s="82"/>
      <c r="C70" s="92" t="str">
        <f>INDEX(lang!166:166,1,LNG)</f>
        <v>Import an option preset</v>
      </c>
      <c r="D70" s="33"/>
      <c r="E70" s="33"/>
      <c r="F70" s="33"/>
      <c r="G70" s="33"/>
      <c r="H70" s="33"/>
      <c r="I70" s="33"/>
      <c r="J70" s="70"/>
      <c r="K70" s="33"/>
      <c r="L70" s="33"/>
      <c r="M70" s="33"/>
      <c r="N70" s="33"/>
      <c r="O70" s="33"/>
      <c r="P70" s="33"/>
      <c r="Q70" s="82"/>
      <c r="R70" s="87"/>
      <c r="S70" s="109">
        <v>0</v>
      </c>
      <c r="T70" s="64"/>
      <c r="U70" s="64"/>
      <c r="V70" s="64"/>
      <c r="W70" s="164"/>
      <c r="X70" s="164"/>
      <c r="Y70" s="164"/>
      <c r="Z70" s="164"/>
      <c r="AA70" s="164"/>
      <c r="AB70" s="164"/>
      <c r="AC70" s="164"/>
      <c r="AD70" s="164"/>
      <c r="AE70" s="164"/>
      <c r="AF70" s="164"/>
      <c r="AG70" s="164"/>
      <c r="AH70" s="164"/>
      <c r="AI70" s="164"/>
    </row>
    <row r="71" spans="1:35" ht="31.95" customHeight="1" thickTop="1" thickBot="1" x14ac:dyDescent="0.35">
      <c r="A71" s="97"/>
      <c r="B71" s="82"/>
      <c r="C71" s="243"/>
      <c r="D71" s="243"/>
      <c r="E71" s="243"/>
      <c r="F71" s="243"/>
      <c r="G71" s="243"/>
      <c r="H71" s="243"/>
      <c r="I71" s="243"/>
      <c r="J71" s="243"/>
      <c r="K71" s="243"/>
      <c r="L71" s="243"/>
      <c r="M71" s="243"/>
      <c r="N71" s="33"/>
      <c r="O71" s="69" t="str">
        <f>INDEX(lang!164:164,1,LNG)</f>
        <v>IMPORT</v>
      </c>
      <c r="P71" s="33"/>
      <c r="Q71" s="82"/>
      <c r="R71" s="87"/>
      <c r="S71" s="109">
        <v>0</v>
      </c>
      <c r="T71" s="64"/>
      <c r="U71" s="64"/>
      <c r="V71" s="64"/>
      <c r="W71" s="164" t="b">
        <f>LEN(C71)&lt;&gt;64</f>
        <v>1</v>
      </c>
      <c r="X71" s="164" t="str">
        <f>INDEX(lang!168:168,1,LNG)</f>
        <v>Invalid data</v>
      </c>
      <c r="Y71" s="164" t="str">
        <f>INDEX(lang!171:171,1,LNG)</f>
        <v>Import successful</v>
      </c>
      <c r="Z71" s="164"/>
      <c r="AA71" s="164"/>
      <c r="AB71" s="164"/>
      <c r="AC71" s="164"/>
      <c r="AD71" s="164"/>
      <c r="AE71" s="164"/>
      <c r="AF71" s="164"/>
      <c r="AG71" s="164"/>
      <c r="AH71" s="164"/>
      <c r="AI71" s="164"/>
    </row>
    <row r="72" spans="1:35" ht="15" customHeight="1" thickTop="1" x14ac:dyDescent="0.3">
      <c r="A72" s="97"/>
      <c r="B72" s="82"/>
      <c r="C72" s="33"/>
      <c r="D72" s="33"/>
      <c r="E72" s="33"/>
      <c r="F72" s="33"/>
      <c r="G72" s="33"/>
      <c r="H72" s="33"/>
      <c r="I72" s="33"/>
      <c r="J72" s="70"/>
      <c r="K72" s="33"/>
      <c r="L72" s="33"/>
      <c r="M72" s="33"/>
      <c r="N72" s="33"/>
      <c r="O72" s="33"/>
      <c r="P72" s="33"/>
      <c r="Q72" s="82"/>
      <c r="R72" s="87"/>
      <c r="S72" s="109">
        <v>0</v>
      </c>
      <c r="T72" s="64"/>
      <c r="U72" s="64"/>
      <c r="V72" s="64"/>
      <c r="W72" s="164"/>
      <c r="X72" s="164" t="str">
        <f>INDEX(lang!169:169,1,LNG)</f>
        <v>The data you are trying to import is not a valid option preset.</v>
      </c>
      <c r="Y72" s="164" t="str">
        <f>INDEX(lang!172:172,1,LNG)</f>
        <v>Preset successfully loaded. If you would like to save it in your collection, use the save option.</v>
      </c>
      <c r="Z72" s="164"/>
      <c r="AA72" s="164"/>
      <c r="AB72" s="164"/>
      <c r="AC72" s="164"/>
      <c r="AD72" s="164"/>
      <c r="AE72" s="164"/>
      <c r="AF72" s="164"/>
      <c r="AG72" s="164"/>
      <c r="AH72" s="164"/>
      <c r="AI72" s="164"/>
    </row>
    <row r="73" spans="1:35" ht="16.2" customHeight="1" thickBot="1" x14ac:dyDescent="0.35">
      <c r="A73" s="97"/>
      <c r="B73" s="82"/>
      <c r="C73" s="92" t="str">
        <f>INDEX(lang!167:167,1,LNG)</f>
        <v>Export an option preset</v>
      </c>
      <c r="D73" s="33"/>
      <c r="E73" s="33"/>
      <c r="F73" s="33"/>
      <c r="G73" s="33"/>
      <c r="H73" s="33"/>
      <c r="I73" s="33"/>
      <c r="J73" s="70"/>
      <c r="K73" s="33"/>
      <c r="L73" s="33"/>
      <c r="M73" s="33"/>
      <c r="N73" s="33"/>
      <c r="O73" s="33"/>
      <c r="P73" s="33"/>
      <c r="Q73" s="82"/>
      <c r="R73" s="87"/>
      <c r="S73" s="109">
        <v>0</v>
      </c>
      <c r="T73" s="64"/>
      <c r="U73" s="64"/>
      <c r="V73" s="64"/>
      <c r="W73" s="164"/>
      <c r="X73" s="164"/>
      <c r="Y73" s="164" t="str">
        <f>INDEX(lang!173:173,1,LNG)</f>
        <v>Export successful</v>
      </c>
      <c r="Z73" s="164"/>
      <c r="AA73" s="164"/>
      <c r="AB73" s="164"/>
      <c r="AC73" s="164"/>
      <c r="AD73" s="164"/>
      <c r="AE73" s="164"/>
      <c r="AF73" s="164"/>
      <c r="AG73" s="164"/>
      <c r="AH73" s="164"/>
      <c r="AI73" s="164"/>
    </row>
    <row r="74" spans="1:35" ht="31.95" customHeight="1" thickTop="1" thickBot="1" x14ac:dyDescent="0.35">
      <c r="A74" s="97"/>
      <c r="B74" s="82"/>
      <c r="C74" s="243" t="s">
        <v>373</v>
      </c>
      <c r="D74" s="243"/>
      <c r="E74" s="243"/>
      <c r="F74" s="243"/>
      <c r="G74" s="243"/>
      <c r="H74" s="243"/>
      <c r="I74" s="243"/>
      <c r="J74" s="243"/>
      <c r="K74" s="243"/>
      <c r="L74" s="243"/>
      <c r="M74" s="243"/>
      <c r="N74" s="33"/>
      <c r="O74" s="69" t="str">
        <f>INDEX(lang!165:165,1,LNG)</f>
        <v>EXPORT</v>
      </c>
      <c r="P74" s="33"/>
      <c r="Q74" s="82"/>
      <c r="R74" s="87" t="str">
        <f>R65</f>
        <v>'saves'!B3:B6</v>
      </c>
      <c r="S74" s="109">
        <v>0</v>
      </c>
      <c r="T74" s="64"/>
      <c r="U74" s="64"/>
      <c r="V74" s="64"/>
      <c r="W74" s="164">
        <f>IFERROR(MATCH(C74,saves!B:B,0),3)</f>
        <v>3</v>
      </c>
      <c r="X74" s="164"/>
      <c r="Y74" s="164" t="str">
        <f>INDEX(lang!174:174,1,LNG)</f>
        <v>The selected preset was generated into the Import input field.</v>
      </c>
      <c r="Z74" s="164"/>
      <c r="AA74" s="164"/>
      <c r="AB74" s="164"/>
      <c r="AC74" s="164"/>
      <c r="AD74" s="164"/>
      <c r="AE74" s="164"/>
      <c r="AF74" s="164"/>
      <c r="AG74" s="164"/>
      <c r="AH74" s="164"/>
      <c r="AI74" s="164"/>
    </row>
    <row r="75" spans="1:35" ht="15.6" thickTop="1" thickBot="1" x14ac:dyDescent="0.35">
      <c r="A75" s="97"/>
      <c r="B75" s="83"/>
      <c r="C75" s="79"/>
      <c r="D75" s="79"/>
      <c r="E75" s="79"/>
      <c r="F75" s="79"/>
      <c r="G75" s="79"/>
      <c r="H75" s="79"/>
      <c r="I75" s="79"/>
      <c r="J75" s="81"/>
      <c r="K75" s="79"/>
      <c r="L75" s="79"/>
      <c r="M75" s="79"/>
      <c r="N75" s="79"/>
      <c r="O75" s="79"/>
      <c r="P75" s="79"/>
      <c r="Q75" s="83"/>
      <c r="R75" s="117" t="str">
        <f>C59</f>
        <v>Options presets</v>
      </c>
      <c r="S75" s="109">
        <v>0</v>
      </c>
      <c r="T75" s="64"/>
      <c r="U75" s="64"/>
      <c r="V75" s="64"/>
      <c r="W75" s="164"/>
      <c r="X75" s="164"/>
      <c r="Y75" s="164"/>
      <c r="Z75" s="164"/>
      <c r="AA75" s="164"/>
      <c r="AB75" s="164"/>
      <c r="AC75" s="164"/>
      <c r="AD75" s="164"/>
      <c r="AE75" s="164"/>
      <c r="AF75" s="164"/>
      <c r="AG75" s="164"/>
      <c r="AH75" s="164"/>
      <c r="AI75" s="164"/>
    </row>
    <row r="76" spans="1:35" ht="15" thickTop="1" x14ac:dyDescent="0.3">
      <c r="A76" s="100">
        <v>0</v>
      </c>
      <c r="B76" s="98">
        <v>0</v>
      </c>
      <c r="C76" s="98">
        <v>0</v>
      </c>
      <c r="D76" s="98">
        <v>0</v>
      </c>
      <c r="E76" s="98">
        <v>0</v>
      </c>
      <c r="F76" s="98">
        <v>0</v>
      </c>
      <c r="G76" s="98">
        <v>0</v>
      </c>
      <c r="H76" s="98">
        <v>0</v>
      </c>
      <c r="I76" s="98">
        <v>0</v>
      </c>
      <c r="J76" s="99">
        <v>0</v>
      </c>
      <c r="K76" s="98">
        <v>0</v>
      </c>
      <c r="L76" s="98">
        <v>0</v>
      </c>
      <c r="M76" s="98">
        <v>0</v>
      </c>
      <c r="N76" s="98">
        <v>0</v>
      </c>
      <c r="O76" s="98">
        <v>0</v>
      </c>
      <c r="P76" s="98">
        <v>0</v>
      </c>
      <c r="Q76" s="98">
        <v>0</v>
      </c>
      <c r="R76" s="98">
        <v>0</v>
      </c>
      <c r="S76" s="100">
        <v>0</v>
      </c>
      <c r="T76" s="64"/>
      <c r="U76" s="64"/>
      <c r="V76" s="64"/>
      <c r="W76" s="164"/>
      <c r="X76" s="164"/>
      <c r="Y76" s="164"/>
      <c r="Z76" s="164"/>
      <c r="AA76" s="164"/>
      <c r="AB76" s="164"/>
      <c r="AC76" s="164"/>
      <c r="AD76" s="164"/>
      <c r="AE76" s="164"/>
      <c r="AF76" s="164"/>
      <c r="AG76" s="164"/>
      <c r="AH76" s="164"/>
      <c r="AI76" s="164"/>
    </row>
    <row r="77" spans="1:35" x14ac:dyDescent="0.3">
      <c r="A77" s="64"/>
      <c r="B77" s="101"/>
      <c r="C77" s="64"/>
      <c r="D77" s="64"/>
      <c r="E77" s="64"/>
      <c r="F77" s="64"/>
      <c r="G77" s="64"/>
      <c r="H77" s="64"/>
      <c r="I77" s="64"/>
      <c r="J77" s="102"/>
      <c r="K77" s="64"/>
      <c r="L77" s="64"/>
      <c r="M77" s="64"/>
      <c r="N77" s="64"/>
      <c r="O77" s="64"/>
      <c r="P77" s="64"/>
      <c r="Q77" s="101"/>
      <c r="R77" s="101"/>
      <c r="S77" s="103"/>
      <c r="T77" s="64"/>
      <c r="U77" s="64"/>
      <c r="V77" s="64"/>
      <c r="W77" s="164"/>
      <c r="X77" s="164"/>
      <c r="Y77" s="164"/>
      <c r="Z77" s="164"/>
      <c r="AA77" s="164"/>
      <c r="AB77" s="164"/>
      <c r="AC77" s="164"/>
      <c r="AD77" s="164"/>
      <c r="AE77" s="164"/>
      <c r="AF77" s="164"/>
      <c r="AG77" s="164"/>
      <c r="AH77" s="164"/>
      <c r="AI77" s="164"/>
    </row>
    <row r="78" spans="1:35" x14ac:dyDescent="0.3">
      <c r="A78" s="64"/>
      <c r="B78" s="101"/>
      <c r="C78" s="64"/>
      <c r="D78" s="64"/>
      <c r="E78" s="64"/>
      <c r="F78" s="64"/>
      <c r="G78" s="64"/>
      <c r="H78" s="64"/>
      <c r="I78" s="64"/>
      <c r="J78" s="102"/>
      <c r="K78" s="64"/>
      <c r="L78" s="64"/>
      <c r="M78" s="64"/>
      <c r="N78" s="64"/>
      <c r="O78" s="64"/>
      <c r="P78" s="64"/>
      <c r="Q78" s="101"/>
      <c r="R78" s="101"/>
      <c r="S78" s="103"/>
      <c r="T78" s="64"/>
      <c r="U78" s="64"/>
      <c r="V78" s="64"/>
      <c r="W78" s="164"/>
      <c r="X78" s="164"/>
      <c r="Y78" s="164"/>
      <c r="Z78" s="164"/>
      <c r="AA78" s="164"/>
      <c r="AB78" s="164"/>
      <c r="AC78" s="164"/>
      <c r="AD78" s="164"/>
      <c r="AE78" s="164"/>
      <c r="AF78" s="164"/>
      <c r="AG78" s="164"/>
      <c r="AH78" s="164"/>
      <c r="AI78" s="164"/>
    </row>
    <row r="79" spans="1:35" x14ac:dyDescent="0.3">
      <c r="A79" s="64"/>
      <c r="B79" s="64"/>
      <c r="C79" s="64"/>
      <c r="D79" s="64"/>
      <c r="E79" s="64"/>
      <c r="F79" s="64"/>
      <c r="G79" s="64"/>
      <c r="H79" s="64"/>
      <c r="I79" s="64"/>
      <c r="J79" s="64"/>
      <c r="K79" s="64"/>
      <c r="L79" s="64"/>
      <c r="M79" s="64"/>
      <c r="N79" s="64"/>
      <c r="O79" s="64"/>
      <c r="P79" s="64"/>
      <c r="Q79" s="64"/>
      <c r="R79" s="64"/>
      <c r="S79" s="64"/>
      <c r="T79" s="64"/>
      <c r="U79" s="64"/>
      <c r="V79" s="64"/>
      <c r="W79" s="164"/>
      <c r="X79" s="164"/>
      <c r="Y79" s="164"/>
      <c r="Z79" s="164"/>
      <c r="AA79" s="164"/>
      <c r="AB79" s="164"/>
      <c r="AC79" s="164"/>
      <c r="AD79" s="164"/>
      <c r="AE79" s="164"/>
      <c r="AF79" s="164"/>
      <c r="AG79" s="164"/>
      <c r="AH79" s="164"/>
      <c r="AI79" s="164"/>
    </row>
    <row r="80" spans="1:35" x14ac:dyDescent="0.3">
      <c r="A80" s="64"/>
      <c r="B80" s="64"/>
      <c r="C80" s="64"/>
      <c r="D80" s="64"/>
      <c r="E80" s="64"/>
      <c r="F80" s="64"/>
      <c r="G80" s="64"/>
      <c r="H80" s="64"/>
      <c r="I80" s="64"/>
      <c r="J80" s="64"/>
      <c r="K80" s="64"/>
      <c r="L80" s="64"/>
      <c r="M80" s="64"/>
      <c r="N80" s="64"/>
      <c r="O80" s="64"/>
      <c r="P80" s="64"/>
      <c r="Q80" s="64"/>
      <c r="R80" s="64"/>
      <c r="S80" s="64"/>
      <c r="T80" s="64"/>
      <c r="U80" s="64"/>
      <c r="V80" s="64"/>
      <c r="W80" s="164"/>
      <c r="X80" s="164"/>
      <c r="Y80" s="164"/>
      <c r="Z80" s="164"/>
      <c r="AA80" s="164"/>
      <c r="AB80" s="164"/>
      <c r="AC80" s="164"/>
      <c r="AD80" s="164"/>
      <c r="AE80" s="164"/>
      <c r="AF80" s="164"/>
      <c r="AG80" s="164"/>
      <c r="AH80" s="164"/>
      <c r="AI80" s="164"/>
    </row>
    <row r="81" spans="1:22" x14ac:dyDescent="0.3">
      <c r="A81" s="64"/>
      <c r="B81" s="64"/>
      <c r="C81" s="64"/>
      <c r="D81" s="64"/>
      <c r="E81" s="64"/>
      <c r="F81" s="64"/>
      <c r="G81" s="64"/>
      <c r="H81" s="64"/>
      <c r="I81" s="64"/>
      <c r="J81" s="64"/>
      <c r="K81" s="64"/>
      <c r="L81" s="64"/>
      <c r="M81" s="64"/>
      <c r="N81" s="64"/>
      <c r="O81" s="64"/>
      <c r="P81" s="64"/>
      <c r="Q81" s="64"/>
      <c r="R81" s="64"/>
      <c r="S81" s="64"/>
      <c r="T81" s="64"/>
      <c r="U81" s="64"/>
      <c r="V81" s="64"/>
    </row>
    <row r="82" spans="1:22" x14ac:dyDescent="0.3">
      <c r="A82" s="64"/>
      <c r="B82" s="64"/>
      <c r="C82" s="64"/>
      <c r="D82" s="64"/>
      <c r="E82" s="64"/>
      <c r="F82" s="64"/>
      <c r="G82" s="64"/>
      <c r="H82" s="64"/>
      <c r="I82" s="64"/>
      <c r="J82" s="64"/>
      <c r="K82" s="64"/>
      <c r="L82" s="64"/>
      <c r="M82" s="64"/>
      <c r="N82" s="64"/>
      <c r="O82" s="64"/>
      <c r="P82" s="64"/>
      <c r="Q82" s="64"/>
      <c r="R82" s="64"/>
      <c r="S82" s="64"/>
      <c r="T82" s="64"/>
      <c r="U82" s="64"/>
      <c r="V82" s="64"/>
    </row>
    <row r="83" spans="1:22" x14ac:dyDescent="0.3">
      <c r="A83" s="64"/>
      <c r="B83" s="64"/>
      <c r="C83" s="64"/>
      <c r="D83" s="64"/>
      <c r="E83" s="64"/>
      <c r="F83" s="64"/>
      <c r="G83" s="64"/>
      <c r="H83" s="64"/>
      <c r="I83" s="64"/>
      <c r="J83" s="64"/>
      <c r="K83" s="64"/>
      <c r="L83" s="64"/>
      <c r="M83" s="64"/>
      <c r="N83" s="64"/>
      <c r="O83" s="64"/>
      <c r="P83" s="64"/>
      <c r="Q83" s="64"/>
      <c r="R83" s="64"/>
      <c r="S83" s="64"/>
      <c r="T83" s="64"/>
      <c r="U83" s="64"/>
      <c r="V83" s="64"/>
    </row>
    <row r="84" spans="1:22" x14ac:dyDescent="0.3">
      <c r="A84" s="64"/>
      <c r="B84" s="64"/>
      <c r="C84" s="64"/>
      <c r="D84" s="64"/>
      <c r="E84" s="64"/>
      <c r="F84" s="64"/>
      <c r="G84" s="64"/>
      <c r="H84" s="64"/>
      <c r="I84" s="64"/>
      <c r="J84" s="64"/>
      <c r="K84" s="64"/>
      <c r="L84" s="64"/>
      <c r="M84" s="64"/>
      <c r="N84" s="64"/>
      <c r="O84" s="64"/>
      <c r="P84" s="64"/>
      <c r="Q84" s="64"/>
      <c r="R84" s="64"/>
      <c r="S84" s="64"/>
      <c r="T84" s="64"/>
      <c r="U84" s="64"/>
      <c r="V84" s="64"/>
    </row>
    <row r="85" spans="1:22" x14ac:dyDescent="0.3">
      <c r="A85" s="64"/>
      <c r="B85" s="64"/>
      <c r="C85" s="64"/>
      <c r="D85" s="64"/>
      <c r="E85" s="64"/>
      <c r="F85" s="64"/>
      <c r="G85" s="64"/>
      <c r="H85" s="64"/>
      <c r="I85" s="64"/>
      <c r="J85" s="64"/>
      <c r="K85" s="64"/>
      <c r="L85" s="64"/>
      <c r="M85" s="64"/>
      <c r="N85" s="64"/>
      <c r="O85" s="64"/>
      <c r="P85" s="64"/>
      <c r="Q85" s="64"/>
      <c r="R85" s="64"/>
      <c r="S85" s="64"/>
      <c r="T85" s="64"/>
      <c r="U85" s="64"/>
      <c r="V85" s="64"/>
    </row>
    <row r="86" spans="1:22" x14ac:dyDescent="0.3">
      <c r="A86" s="64"/>
      <c r="B86" s="64"/>
      <c r="C86" s="64"/>
      <c r="D86" s="64"/>
      <c r="E86" s="64"/>
      <c r="F86" s="64"/>
      <c r="G86" s="64"/>
      <c r="H86" s="64"/>
      <c r="I86" s="64"/>
      <c r="J86" s="64"/>
      <c r="K86" s="64"/>
      <c r="L86" s="64"/>
      <c r="M86" s="64"/>
      <c r="N86" s="64"/>
      <c r="O86" s="64"/>
      <c r="P86" s="64"/>
      <c r="Q86" s="64"/>
      <c r="R86" s="64"/>
      <c r="S86" s="64"/>
      <c r="T86" s="64"/>
      <c r="U86" s="64"/>
      <c r="V86" s="64"/>
    </row>
    <row r="87" spans="1:22" x14ac:dyDescent="0.3">
      <c r="A87" s="64"/>
      <c r="B87" s="64"/>
      <c r="C87" s="64"/>
      <c r="D87" s="64"/>
      <c r="E87" s="64"/>
      <c r="F87" s="64"/>
      <c r="G87" s="64"/>
      <c r="H87" s="64"/>
      <c r="I87" s="64"/>
      <c r="J87" s="64"/>
      <c r="K87" s="64"/>
      <c r="L87" s="64"/>
      <c r="M87" s="64"/>
      <c r="N87" s="64"/>
      <c r="O87" s="64"/>
      <c r="P87" s="64"/>
      <c r="Q87" s="64"/>
      <c r="R87" s="64"/>
      <c r="S87" s="64"/>
      <c r="T87" s="64"/>
      <c r="U87" s="64"/>
      <c r="V87" s="64"/>
    </row>
    <row r="88" spans="1:22" x14ac:dyDescent="0.3">
      <c r="A88" s="64"/>
      <c r="B88" s="64"/>
      <c r="C88" s="64"/>
      <c r="D88" s="64"/>
      <c r="E88" s="64"/>
      <c r="F88" s="64"/>
      <c r="G88" s="64"/>
      <c r="H88" s="64"/>
      <c r="I88" s="64"/>
      <c r="J88" s="64"/>
      <c r="K88" s="64"/>
      <c r="L88" s="64"/>
      <c r="M88" s="64"/>
      <c r="N88" s="64"/>
      <c r="O88" s="64"/>
      <c r="P88" s="64"/>
      <c r="Q88" s="64"/>
      <c r="R88" s="64"/>
      <c r="S88" s="64"/>
      <c r="T88" s="64"/>
      <c r="U88" s="64"/>
      <c r="V88" s="64"/>
    </row>
    <row r="89" spans="1:22" x14ac:dyDescent="0.3">
      <c r="A89" s="64"/>
      <c r="B89" s="64"/>
      <c r="C89" s="64"/>
      <c r="D89" s="64"/>
      <c r="E89" s="64"/>
      <c r="F89" s="64"/>
      <c r="G89" s="64"/>
      <c r="H89" s="64"/>
      <c r="I89" s="64"/>
      <c r="J89" s="64"/>
      <c r="K89" s="64"/>
      <c r="L89" s="64"/>
      <c r="M89" s="64"/>
      <c r="N89" s="64"/>
      <c r="O89" s="64"/>
      <c r="P89" s="64"/>
      <c r="Q89" s="64"/>
      <c r="R89" s="64"/>
      <c r="S89" s="64"/>
      <c r="T89" s="64"/>
      <c r="U89" s="64"/>
      <c r="V89" s="64"/>
    </row>
    <row r="90" spans="1:22" x14ac:dyDescent="0.3">
      <c r="A90" s="64"/>
      <c r="B90" s="64"/>
      <c r="C90" s="64"/>
      <c r="D90" s="64"/>
      <c r="E90" s="64"/>
      <c r="F90" s="64"/>
      <c r="G90" s="64"/>
      <c r="H90" s="64"/>
      <c r="I90" s="64"/>
      <c r="J90" s="64"/>
      <c r="K90" s="64"/>
      <c r="L90" s="64"/>
      <c r="M90" s="64"/>
      <c r="N90" s="64"/>
      <c r="O90" s="64"/>
      <c r="P90" s="64"/>
      <c r="Q90" s="64"/>
      <c r="R90" s="64"/>
      <c r="S90" s="64"/>
      <c r="T90" s="64"/>
      <c r="U90" s="64"/>
      <c r="V90" s="64"/>
    </row>
    <row r="91" spans="1:22" x14ac:dyDescent="0.3">
      <c r="A91" s="64"/>
      <c r="B91" s="64"/>
      <c r="C91" s="64"/>
      <c r="D91" s="64"/>
      <c r="E91" s="64"/>
      <c r="F91" s="64"/>
      <c r="G91" s="64"/>
      <c r="H91" s="64"/>
      <c r="I91" s="64"/>
      <c r="J91" s="64"/>
      <c r="K91" s="64"/>
      <c r="L91" s="64"/>
      <c r="M91" s="64"/>
      <c r="N91" s="64"/>
      <c r="O91" s="64"/>
      <c r="P91" s="64"/>
      <c r="Q91" s="64"/>
      <c r="R91" s="64"/>
      <c r="S91" s="64"/>
      <c r="T91" s="64"/>
      <c r="U91" s="64"/>
      <c r="V91" s="64"/>
    </row>
    <row r="92" spans="1:22" x14ac:dyDescent="0.3">
      <c r="A92" s="64"/>
      <c r="B92" s="64"/>
      <c r="C92" s="64"/>
      <c r="D92" s="64"/>
      <c r="E92" s="64"/>
      <c r="F92" s="64"/>
      <c r="G92" s="64"/>
      <c r="H92" s="64"/>
      <c r="I92" s="64"/>
      <c r="J92" s="64"/>
      <c r="K92" s="64"/>
      <c r="L92" s="64"/>
      <c r="M92" s="64"/>
      <c r="N92" s="64"/>
      <c r="O92" s="64"/>
      <c r="P92" s="64"/>
      <c r="Q92" s="64"/>
      <c r="R92" s="64"/>
      <c r="S92" s="64"/>
      <c r="T92" s="64"/>
      <c r="U92" s="64"/>
      <c r="V92" s="64"/>
    </row>
    <row r="93" spans="1:22" x14ac:dyDescent="0.3">
      <c r="A93" s="64"/>
      <c r="B93" s="64"/>
      <c r="C93" s="64"/>
      <c r="D93" s="64"/>
      <c r="E93" s="64"/>
      <c r="F93" s="64"/>
      <c r="G93" s="64"/>
      <c r="H93" s="64"/>
      <c r="I93" s="64"/>
      <c r="J93" s="64"/>
      <c r="K93" s="64"/>
      <c r="L93" s="64"/>
      <c r="M93" s="64"/>
      <c r="N93" s="64"/>
      <c r="O93" s="64"/>
      <c r="P93" s="64"/>
      <c r="Q93" s="64"/>
      <c r="R93" s="64"/>
      <c r="S93" s="64"/>
      <c r="T93" s="64"/>
      <c r="U93" s="64"/>
      <c r="V93" s="64"/>
    </row>
    <row r="94" spans="1:22" x14ac:dyDescent="0.3">
      <c r="A94" s="64"/>
      <c r="B94" s="64"/>
      <c r="C94" s="64"/>
      <c r="D94" s="64"/>
      <c r="E94" s="64"/>
      <c r="F94" s="64"/>
      <c r="G94" s="64"/>
      <c r="H94" s="64"/>
      <c r="I94" s="64"/>
      <c r="J94" s="64"/>
      <c r="K94" s="64"/>
      <c r="L94" s="64"/>
      <c r="M94" s="64"/>
      <c r="N94" s="64"/>
      <c r="O94" s="64"/>
      <c r="P94" s="64"/>
      <c r="Q94" s="64"/>
      <c r="R94" s="64"/>
      <c r="S94" s="64"/>
      <c r="T94" s="64"/>
      <c r="U94" s="64"/>
      <c r="V94" s="64"/>
    </row>
    <row r="95" spans="1:22" x14ac:dyDescent="0.3">
      <c r="A95" s="64"/>
      <c r="B95" s="64"/>
      <c r="C95" s="64"/>
      <c r="D95" s="64"/>
      <c r="E95" s="64"/>
      <c r="F95" s="64"/>
      <c r="G95" s="64"/>
      <c r="H95" s="64"/>
      <c r="I95" s="64"/>
      <c r="J95" s="64"/>
      <c r="K95" s="64"/>
      <c r="L95" s="64"/>
      <c r="M95" s="64"/>
      <c r="N95" s="64"/>
      <c r="O95" s="64"/>
      <c r="P95" s="64"/>
      <c r="Q95" s="64"/>
      <c r="R95" s="64"/>
      <c r="S95" s="64"/>
      <c r="T95" s="64"/>
      <c r="U95" s="64"/>
      <c r="V95" s="64"/>
    </row>
    <row r="96" spans="1:22" x14ac:dyDescent="0.3">
      <c r="A96" s="64"/>
      <c r="B96" s="64"/>
      <c r="C96" s="64"/>
      <c r="D96" s="64"/>
      <c r="E96" s="64"/>
      <c r="F96" s="64"/>
      <c r="G96" s="64"/>
      <c r="H96" s="64"/>
      <c r="I96" s="64"/>
      <c r="J96" s="64"/>
      <c r="K96" s="64"/>
      <c r="L96" s="64"/>
      <c r="M96" s="64"/>
      <c r="N96" s="64"/>
      <c r="O96" s="64"/>
      <c r="P96" s="64"/>
      <c r="Q96" s="64"/>
      <c r="R96" s="64"/>
      <c r="S96" s="64"/>
      <c r="T96" s="64"/>
      <c r="U96" s="64"/>
      <c r="V96" s="64"/>
    </row>
    <row r="97" spans="1:22" x14ac:dyDescent="0.3">
      <c r="A97" s="64"/>
      <c r="B97" s="64"/>
      <c r="C97" s="64"/>
      <c r="D97" s="64"/>
      <c r="E97" s="64"/>
      <c r="F97" s="64"/>
      <c r="G97" s="64"/>
      <c r="H97" s="64"/>
      <c r="I97" s="64"/>
      <c r="J97" s="64"/>
      <c r="K97" s="64"/>
      <c r="L97" s="64"/>
      <c r="M97" s="64"/>
      <c r="N97" s="64"/>
      <c r="O97" s="64"/>
      <c r="P97" s="64"/>
      <c r="Q97" s="64"/>
      <c r="R97" s="64"/>
      <c r="S97" s="64"/>
      <c r="T97" s="64"/>
      <c r="U97" s="64"/>
      <c r="V97" s="64"/>
    </row>
    <row r="98" spans="1:22" x14ac:dyDescent="0.3">
      <c r="A98" s="64"/>
      <c r="B98" s="64"/>
      <c r="C98" s="64"/>
      <c r="D98" s="64"/>
      <c r="E98" s="64"/>
      <c r="F98" s="64"/>
      <c r="G98" s="64"/>
      <c r="H98" s="64"/>
      <c r="I98" s="64"/>
      <c r="J98" s="64"/>
      <c r="K98" s="64"/>
      <c r="L98" s="64"/>
      <c r="M98" s="64"/>
      <c r="N98" s="64"/>
      <c r="O98" s="64"/>
      <c r="P98" s="64"/>
      <c r="Q98" s="64"/>
      <c r="R98" s="64"/>
      <c r="S98" s="64"/>
      <c r="T98" s="64"/>
      <c r="U98" s="64"/>
      <c r="V98" s="64"/>
    </row>
    <row r="99" spans="1:22" x14ac:dyDescent="0.3">
      <c r="A99" s="64"/>
      <c r="B99" s="64"/>
      <c r="C99" s="64"/>
      <c r="D99" s="64"/>
      <c r="E99" s="64"/>
      <c r="F99" s="64"/>
      <c r="G99" s="64"/>
      <c r="H99" s="64"/>
      <c r="I99" s="64"/>
      <c r="J99" s="64"/>
      <c r="K99" s="64"/>
      <c r="L99" s="64"/>
      <c r="M99" s="64"/>
      <c r="N99" s="64"/>
      <c r="O99" s="64"/>
      <c r="P99" s="64"/>
      <c r="Q99" s="64"/>
      <c r="R99" s="64"/>
      <c r="S99" s="64"/>
      <c r="T99" s="64"/>
      <c r="U99" s="64"/>
      <c r="V99" s="64"/>
    </row>
    <row r="100" spans="1:22" x14ac:dyDescent="0.3">
      <c r="A100" s="64"/>
      <c r="B100" s="64"/>
      <c r="C100" s="64"/>
      <c r="D100" s="64"/>
      <c r="E100" s="64"/>
      <c r="F100" s="64"/>
      <c r="G100" s="64"/>
      <c r="H100" s="64"/>
      <c r="I100" s="64"/>
      <c r="J100" s="64"/>
      <c r="K100" s="64"/>
      <c r="L100" s="64"/>
      <c r="M100" s="64"/>
      <c r="N100" s="64"/>
      <c r="O100" s="64"/>
      <c r="P100" s="64"/>
      <c r="Q100" s="64"/>
      <c r="R100" s="64"/>
      <c r="S100" s="64"/>
      <c r="T100" s="64"/>
      <c r="U100" s="64"/>
      <c r="V100" s="64"/>
    </row>
    <row r="101" spans="1:22" x14ac:dyDescent="0.3">
      <c r="A101" s="64"/>
      <c r="B101" s="64"/>
      <c r="C101" s="64"/>
      <c r="D101" s="64"/>
      <c r="E101" s="64"/>
      <c r="F101" s="64"/>
      <c r="G101" s="64"/>
      <c r="H101" s="64"/>
      <c r="I101" s="64"/>
      <c r="J101" s="64"/>
      <c r="K101" s="64"/>
      <c r="L101" s="64"/>
      <c r="M101" s="64"/>
      <c r="N101" s="64"/>
      <c r="O101" s="64"/>
      <c r="P101" s="64"/>
      <c r="Q101" s="64"/>
      <c r="R101" s="64"/>
      <c r="S101" s="64"/>
      <c r="T101" s="64"/>
      <c r="U101" s="64"/>
      <c r="V101" s="64"/>
    </row>
    <row r="102" spans="1:22" x14ac:dyDescent="0.3">
      <c r="A102" s="64"/>
      <c r="B102" s="64"/>
      <c r="C102" s="64"/>
      <c r="D102" s="64"/>
      <c r="E102" s="64"/>
      <c r="F102" s="64"/>
      <c r="G102" s="64"/>
      <c r="H102" s="64"/>
      <c r="I102" s="64"/>
      <c r="J102" s="64"/>
      <c r="K102" s="64"/>
      <c r="L102" s="64"/>
      <c r="M102" s="64"/>
      <c r="N102" s="64"/>
      <c r="O102" s="64"/>
      <c r="P102" s="64"/>
      <c r="Q102" s="64"/>
      <c r="R102" s="64"/>
      <c r="S102" s="64"/>
      <c r="T102" s="64"/>
      <c r="U102" s="64"/>
      <c r="V102" s="64"/>
    </row>
    <row r="103" spans="1:22" x14ac:dyDescent="0.3">
      <c r="A103" s="64"/>
      <c r="B103" s="64"/>
      <c r="C103" s="64"/>
      <c r="D103" s="64"/>
      <c r="E103" s="64"/>
      <c r="F103" s="64"/>
      <c r="G103" s="64"/>
      <c r="H103" s="64"/>
      <c r="I103" s="64"/>
      <c r="J103" s="64"/>
      <c r="K103" s="64"/>
      <c r="L103" s="64"/>
      <c r="M103" s="64"/>
      <c r="N103" s="64"/>
      <c r="O103" s="64"/>
      <c r="P103" s="64"/>
      <c r="Q103" s="64"/>
      <c r="R103" s="64"/>
      <c r="S103" s="64"/>
      <c r="T103" s="64"/>
      <c r="U103" s="64"/>
      <c r="V103" s="64"/>
    </row>
    <row r="104" spans="1:22" x14ac:dyDescent="0.3">
      <c r="A104" s="64"/>
      <c r="B104" s="64"/>
      <c r="C104" s="64"/>
      <c r="D104" s="64"/>
      <c r="E104" s="64"/>
      <c r="F104" s="64"/>
      <c r="G104" s="64"/>
      <c r="H104" s="64"/>
      <c r="I104" s="64"/>
      <c r="J104" s="64"/>
      <c r="K104" s="64"/>
      <c r="L104" s="64"/>
      <c r="M104" s="64"/>
      <c r="N104" s="64"/>
      <c r="O104" s="64"/>
      <c r="P104" s="64"/>
      <c r="Q104" s="64"/>
      <c r="R104" s="64"/>
      <c r="S104" s="64"/>
      <c r="T104" s="64"/>
      <c r="U104" s="64"/>
      <c r="V104" s="64"/>
    </row>
  </sheetData>
  <mergeCells count="29">
    <mergeCell ref="C65:M65"/>
    <mergeCell ref="C68:M68"/>
    <mergeCell ref="C50:F50"/>
    <mergeCell ref="C51:E51"/>
    <mergeCell ref="C52:E52"/>
    <mergeCell ref="C54:F54"/>
    <mergeCell ref="C55:E55"/>
    <mergeCell ref="C56:E56"/>
    <mergeCell ref="C45:F45"/>
    <mergeCell ref="C46:E46"/>
    <mergeCell ref="C47:E47"/>
    <mergeCell ref="L32:Q32"/>
    <mergeCell ref="C62:M62"/>
    <mergeCell ref="C71:M71"/>
    <mergeCell ref="C74:M74"/>
    <mergeCell ref="C30:E30"/>
    <mergeCell ref="D3:G3"/>
    <mergeCell ref="C7:H7"/>
    <mergeCell ref="C12:E12"/>
    <mergeCell ref="C18:E18"/>
    <mergeCell ref="C20:H20"/>
    <mergeCell ref="C48:E48"/>
    <mergeCell ref="C32:E32"/>
    <mergeCell ref="L33:M33"/>
    <mergeCell ref="L34:M34"/>
    <mergeCell ref="L35:M35"/>
    <mergeCell ref="L36:M36"/>
    <mergeCell ref="L37:M37"/>
    <mergeCell ref="C43:E43"/>
  </mergeCells>
  <conditionalFormatting sqref="C12:F12">
    <cfRule type="expression" dxfId="13" priority="15">
      <formula>$E$10=$Z$5</formula>
    </cfRule>
  </conditionalFormatting>
  <conditionalFormatting sqref="F18 F30 F43:F55">
    <cfRule type="expression" dxfId="12" priority="14">
      <formula>F18=$Z$4</formula>
    </cfRule>
  </conditionalFormatting>
  <conditionalFormatting sqref="F12">
    <cfRule type="expression" dxfId="11" priority="13">
      <formula>AND(F12=$Z$4,$E$10=$Z$4)</formula>
    </cfRule>
  </conditionalFormatting>
  <conditionalFormatting sqref="L9:M12 L22:M24 L34:M37">
    <cfRule type="expression" dxfId="10" priority="12">
      <formula>$L9&lt;&gt;$Z$7</formula>
    </cfRule>
  </conditionalFormatting>
  <conditionalFormatting sqref="D9:H9 D22:H22">
    <cfRule type="expression" dxfId="9" priority="11">
      <formula>OR(D9&gt;0,D10=$Z$4)</formula>
    </cfRule>
  </conditionalFormatting>
  <conditionalFormatting sqref="D10:H10 D23:H23">
    <cfRule type="expression" dxfId="8" priority="7">
      <formula>OR(D9&gt;0,D10=$Z$4)</formula>
    </cfRule>
  </conditionalFormatting>
  <conditionalFormatting sqref="F32">
    <cfRule type="cellIs" dxfId="7" priority="6" operator="greaterThan">
      <formula>0</formula>
    </cfRule>
  </conditionalFormatting>
  <conditionalFormatting sqref="O62">
    <cfRule type="expression" dxfId="6" priority="5">
      <formula>$C$62=""</formula>
    </cfRule>
  </conditionalFormatting>
  <conditionalFormatting sqref="O65">
    <cfRule type="expression" dxfId="5" priority="4">
      <formula>W65=3</formula>
    </cfRule>
  </conditionalFormatting>
  <conditionalFormatting sqref="O68">
    <cfRule type="expression" dxfId="4" priority="3">
      <formula>W68=3</formula>
    </cfRule>
  </conditionalFormatting>
  <conditionalFormatting sqref="O71">
    <cfRule type="expression" dxfId="3" priority="2">
      <formula>$C$71=""</formula>
    </cfRule>
  </conditionalFormatting>
  <conditionalFormatting sqref="O74">
    <cfRule type="expression" dxfId="2" priority="1">
      <formula>W74=3</formula>
    </cfRule>
  </conditionalFormatting>
  <dataValidations count="8">
    <dataValidation type="list" allowBlank="1" showInputMessage="1" showErrorMessage="1" sqref="D3">
      <formula1>INDIRECT(R3)</formula1>
    </dataValidation>
    <dataValidation type="list" allowBlank="1" showInputMessage="1" showErrorMessage="1" sqref="E3:G3">
      <formula1>INDIRECT(N3)</formula1>
    </dataValidation>
    <dataValidation type="list" allowBlank="1" showInputMessage="1" showErrorMessage="1" sqref="M25">
      <formula1>INDIRECT(#REF!)</formula1>
    </dataValidation>
    <dataValidation type="list" allowBlank="1" showInputMessage="1" showErrorMessage="1" sqref="M9:M12 M22:M24">
      <formula1>INDIRECT(R9)</formula1>
    </dataValidation>
    <dataValidation type="list" allowBlank="1" showInputMessage="1" showErrorMessage="1" sqref="C65:G65 C68:G68">
      <formula1>INDIRECT(R65)</formula1>
    </dataValidation>
    <dataValidation type="list" allowBlank="1" showInputMessage="1" showErrorMessage="1" sqref="H65:M65 H68:M68">
      <formula1>INDIRECT(W64)</formula1>
    </dataValidation>
    <dataValidation type="list" allowBlank="1" showInputMessage="1" showErrorMessage="1" sqref="L34:M37">
      <formula1>INDIRECT(R34)</formula1>
    </dataValidation>
    <dataValidation type="list" allowBlank="1" showInputMessage="1" showErrorMessage="1" sqref="C74:M74">
      <formula1>INDIRECT($R$74)</formula1>
    </dataValidation>
  </dataValidations>
  <hyperlinks>
    <hyperlink ref="C6" location="'KB randomizer'!A1" display="'KB randomizer'!A1"/>
    <hyperlink ref="C16" location="'KB randomizer'!A1" display="'KB randomizer'!A1"/>
    <hyperlink ref="C28" location="'KB randomizer'!A1" display="'KB randomizer'!A1"/>
    <hyperlink ref="C41" location="'KB randomizer'!A1" display="'KB randomizer'!A1"/>
    <hyperlink ref="C59" location="'KB randomizer'!A1" display="'KB randomizer'!A1"/>
    <hyperlink ref="Q6" location="Instructions!C5" tooltip="Help" display="?"/>
    <hyperlink ref="Q16" location="Instructions!C19" tooltip="Help" display="?"/>
    <hyperlink ref="Q28" location="Instructions!C28" tooltip="Help" display="?"/>
    <hyperlink ref="Q41" location="Instructions!C38" tooltip="Help" display="?"/>
    <hyperlink ref="Q59" location="Instructions!C44" tooltip="Help" display="?"/>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expression" priority="9" id="{EEAC0132-0219-4B8A-A636-E66061323E8D}">
            <xm:f>OR(data!$Q$2&gt;0,data!$Q$3&gt;0)</xm:f>
            <x14:dxf>
              <font>
                <color rgb="FFFF0000"/>
              </font>
            </x14:dxf>
          </x14:cfRule>
          <xm:sqref>C6</xm:sqref>
        </x14:conditionalFormatting>
        <x14:conditionalFormatting xmlns:xm="http://schemas.microsoft.com/office/excel/2006/main">
          <x14:cfRule type="expression" priority="8" id="{0DCFC425-C666-4506-A528-B43B2BB87176}">
            <xm:f>OR(data!$Q$4&gt;0,data!$Q$5&gt;0)</xm:f>
            <x14:dxf>
              <font>
                <color rgb="FFFF0000"/>
              </font>
            </x14:dxf>
          </x14:cfRule>
          <xm:sqref>C16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data!$A$2:$A$7</xm:f>
          </x14:formula1>
          <xm:sqref>L25 L9:L11</xm:sqref>
        </x14:dataValidation>
        <x14:dataValidation type="list" allowBlank="1" showInputMessage="1" showErrorMessage="1">
          <x14:formula1>
            <xm:f>data!$A$48:$A$52</xm:f>
          </x14:formula1>
          <xm:sqref>L22:L24</xm:sqref>
        </x14:dataValidation>
        <x14:dataValidation type="list" allowBlank="1" showErrorMessage="1">
          <x14:formula1>
            <xm:f>data!$A$2:$A$7</xm:f>
          </x14:formula1>
          <xm:sqref>L12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Sheet1</vt:lpstr>
      <vt:lpstr>lang</vt:lpstr>
      <vt:lpstr>saves</vt:lpstr>
      <vt:lpstr>data-saves</vt:lpstr>
      <vt:lpstr>data</vt:lpstr>
      <vt:lpstr>About</vt:lpstr>
      <vt:lpstr>Instructions</vt:lpstr>
      <vt:lpstr>KB randomizer</vt:lpstr>
      <vt:lpstr>Options</vt:lpstr>
      <vt:lpstr>LNG</vt:lpstr>
      <vt:lpstr>lngNO</vt:lpstr>
      <vt:lpstr>lngNONE</vt:lpstr>
      <vt:lpstr>lngOFF</vt:lpstr>
      <vt:lpstr>lngON</vt:lpstr>
      <vt:lpstr>lngYES</vt:lpstr>
      <vt:lpstr>progVERSION</vt:lpstr>
      <vt:lpstr>totalERRORS</vt:lpstr>
      <vt:lpstr>useSAVE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WZ</dc:creator>
  <cp:lastModifiedBy>Szpot, Artur</cp:lastModifiedBy>
  <dcterms:created xsi:type="dcterms:W3CDTF">2018-11-10T10:45:34Z</dcterms:created>
  <dcterms:modified xsi:type="dcterms:W3CDTF">2019-02-08T14:13:50Z</dcterms:modified>
</cp:coreProperties>
</file>